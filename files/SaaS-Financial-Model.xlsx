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2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5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7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8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9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0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1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2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3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4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5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2.xml" ContentType="application/vnd.openxmlformats-officedocument.drawing+xml"/>
  <Override PartName="/xl/ctrlProps/ctrlProp2.xml" ContentType="application/vnd.ms-excel.controlproperties+xml"/>
  <Override PartName="/xl/drawings/drawing3.xml" ContentType="application/vnd.openxmlformats-officedocument.drawing+xml"/>
  <Override PartName="/xl/charts/chart16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les\iCloudDrive\Documents\Business\Eigen modellen\Inclusief Valuation\"/>
    </mc:Choice>
  </mc:AlternateContent>
  <xr:revisionPtr revIDLastSave="0" documentId="13_ncr:1_{87DE9504-D6DC-4B00-AC50-FFFF63BEA70D}" xr6:coauthVersionLast="47" xr6:coauthVersionMax="47" xr10:uidLastSave="{00000000-0000-0000-0000-000000000000}"/>
  <bookViews>
    <workbookView xWindow="-28920" yWindow="-120" windowWidth="29040" windowHeight="15720" xr2:uid="{55069A7C-29C8-4186-A74E-8847F1809B34}"/>
  </bookViews>
  <sheets>
    <sheet name="Cover" sheetId="2" r:id="rId1"/>
    <sheet name="Executive Dashboard" sheetId="11" r:id="rId2"/>
    <sheet name="Inputs" sheetId="1" r:id="rId3"/>
    <sheet name="Operational Model" sheetId="3" r:id="rId4"/>
    <sheet name="Valuation" sheetId="12" r:id="rId5"/>
  </sheets>
  <definedNames>
    <definedName name="_xlchart.v5.0" hidden="1">'Executive Dashboard'!$AB$86:$AB$89</definedName>
    <definedName name="_xlchart.v5.1" hidden="1">'Executive Dashboard'!$AG$86:$AG$89</definedName>
    <definedName name="_xlchart.v5.2" hidden="1">'Executive Dashboard'!$AB$86:$AB$89</definedName>
    <definedName name="_xlchart.v5.3" hidden="1">'Executive Dashboard'!$AF$86:$AF$89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72" i="12" l="1"/>
  <c r="G273" i="12"/>
  <c r="G274" i="12"/>
  <c r="D133" i="12"/>
  <c r="H235" i="12"/>
  <c r="R228" i="12" s="1"/>
  <c r="D134" i="12"/>
  <c r="I155" i="12" s="1"/>
  <c r="O195" i="12"/>
  <c r="O194" i="12"/>
  <c r="D90" i="12"/>
  <c r="N195" i="12"/>
  <c r="N194" i="12"/>
  <c r="N193" i="12"/>
  <c r="O192" i="12"/>
  <c r="R192" i="12"/>
  <c r="Q192" i="12"/>
  <c r="R189" i="12"/>
  <c r="Q189" i="12"/>
  <c r="N189" i="12"/>
  <c r="N184" i="12"/>
  <c r="I153" i="12"/>
  <c r="I147" i="12"/>
  <c r="I108" i="12"/>
  <c r="I104" i="12"/>
  <c r="I102" i="12"/>
  <c r="B245" i="12" a="1"/>
  <c r="B245" i="12" s="1"/>
  <c r="Q261" i="12"/>
  <c r="O261" i="12"/>
  <c r="Q260" i="12"/>
  <c r="O260" i="12"/>
  <c r="N282" i="12"/>
  <c r="K285" i="12"/>
  <c r="K286" i="12" s="1"/>
  <c r="K287" i="12" s="1"/>
  <c r="F282" i="12"/>
  <c r="G282" i="12" s="1"/>
  <c r="H282" i="12" s="1"/>
  <c r="C285" i="12"/>
  <c r="R232" i="12"/>
  <c r="B222" i="12" a="1"/>
  <c r="B222" i="12" s="1"/>
  <c r="AC165" i="1"/>
  <c r="P163" i="12"/>
  <c r="H156" i="12"/>
  <c r="H150" i="12"/>
  <c r="H144" i="12"/>
  <c r="I214" i="12"/>
  <c r="H214" i="12"/>
  <c r="O189" i="12"/>
  <c r="N185" i="12"/>
  <c r="O185" i="12"/>
  <c r="N186" i="12"/>
  <c r="O186" i="12"/>
  <c r="N187" i="12"/>
  <c r="O187" i="12"/>
  <c r="N188" i="12"/>
  <c r="O188" i="12"/>
  <c r="O184" i="12"/>
  <c r="Q185" i="12"/>
  <c r="R185" i="12"/>
  <c r="Q186" i="12"/>
  <c r="R186" i="12"/>
  <c r="Q187" i="12"/>
  <c r="R187" i="12"/>
  <c r="Q188" i="12"/>
  <c r="R188" i="12"/>
  <c r="R184" i="12"/>
  <c r="Q184" i="12"/>
  <c r="P260" i="12" l="1"/>
  <c r="P261" i="12"/>
  <c r="D91" i="12"/>
  <c r="I110" i="12" s="1"/>
  <c r="K284" i="12"/>
  <c r="K283" i="12" s="1"/>
  <c r="R193" i="12"/>
  <c r="I208" i="12" s="1"/>
  <c r="Q193" i="12"/>
  <c r="H208" i="12" s="1"/>
  <c r="O193" i="12"/>
  <c r="I204" i="12" s="1"/>
  <c r="R194" i="12"/>
  <c r="N192" i="12"/>
  <c r="R195" i="12"/>
  <c r="Q195" i="12"/>
  <c r="H204" i="12"/>
  <c r="Q194" i="12"/>
  <c r="M282" i="12" l="1"/>
  <c r="L282" i="12" s="1"/>
  <c r="O282" i="12"/>
  <c r="P282" i="12" s="1"/>
  <c r="D189" i="12" l="1"/>
  <c r="D188" i="12"/>
  <c r="D187" i="12"/>
  <c r="D186" i="12"/>
  <c r="D185" i="12"/>
  <c r="D184" i="12"/>
  <c r="B185" i="12"/>
  <c r="B186" i="12"/>
  <c r="B187" i="12"/>
  <c r="B188" i="12"/>
  <c r="B189" i="12"/>
  <c r="B184" i="12"/>
  <c r="B177" i="12" a="1"/>
  <c r="B177" i="12" s="1"/>
  <c r="I135" i="12" l="1"/>
  <c r="J135" i="12" s="1"/>
  <c r="K135" i="12" s="1"/>
  <c r="L135" i="12" s="1"/>
  <c r="M135" i="12" s="1"/>
  <c r="N135" i="12" s="1"/>
  <c r="O135" i="12" s="1"/>
  <c r="P135" i="12" s="1"/>
  <c r="Q135" i="12" s="1"/>
  <c r="R135" i="12" s="1"/>
  <c r="S135" i="12" s="1"/>
  <c r="I134" i="12"/>
  <c r="H134" i="12"/>
  <c r="I149" i="12" s="1"/>
  <c r="B131" i="12" a="1"/>
  <c r="B131" i="12" s="1"/>
  <c r="I91" i="12"/>
  <c r="J91" i="12" s="1"/>
  <c r="K91" i="12" s="1"/>
  <c r="L91" i="12" s="1"/>
  <c r="M91" i="12" s="1"/>
  <c r="N91" i="12" s="1"/>
  <c r="O91" i="12" s="1"/>
  <c r="P91" i="12" s="1"/>
  <c r="Q91" i="12" s="1"/>
  <c r="R91" i="12" s="1"/>
  <c r="S91" i="12" s="1"/>
  <c r="I90" i="12"/>
  <c r="J90" i="12" s="1"/>
  <c r="J102" i="12" s="1"/>
  <c r="J104" i="12" s="1"/>
  <c r="H90" i="12"/>
  <c r="H135" i="12" s="1"/>
  <c r="J153" i="12" s="1"/>
  <c r="K153" i="12" s="1"/>
  <c r="L153" i="12" s="1"/>
  <c r="M153" i="12" s="1"/>
  <c r="N153" i="12" s="1"/>
  <c r="O153" i="12" s="1"/>
  <c r="P153" i="12" s="1"/>
  <c r="Q153" i="12" s="1"/>
  <c r="R153" i="12" s="1"/>
  <c r="S153" i="12" s="1"/>
  <c r="P118" i="12"/>
  <c r="H111" i="12"/>
  <c r="H99" i="12"/>
  <c r="J32" i="12"/>
  <c r="K32" i="12" s="1"/>
  <c r="L32" i="12" s="1"/>
  <c r="M32" i="12" s="1"/>
  <c r="N32" i="12" s="1"/>
  <c r="O32" i="12" s="1"/>
  <c r="P32" i="12" s="1"/>
  <c r="Q32" i="12" s="1"/>
  <c r="R32" i="12" s="1"/>
  <c r="B31" i="12" a="1"/>
  <c r="B31" i="12" s="1"/>
  <c r="B87" i="12" a="1"/>
  <c r="B87" i="12" s="1"/>
  <c r="G129" i="1"/>
  <c r="H129" i="1" s="1"/>
  <c r="I129" i="1" s="1"/>
  <c r="J129" i="1" s="1"/>
  <c r="K129" i="1" s="1"/>
  <c r="L129" i="1" s="1"/>
  <c r="M129" i="1" s="1"/>
  <c r="I51" i="12"/>
  <c r="B50" i="12" a="1"/>
  <c r="B50" i="12" s="1"/>
  <c r="J7" i="12"/>
  <c r="K7" i="12" s="1"/>
  <c r="L7" i="12" s="1"/>
  <c r="M7" i="12" s="1"/>
  <c r="N7" i="12" s="1"/>
  <c r="O7" i="12" s="1"/>
  <c r="P7" i="12" s="1"/>
  <c r="Q7" i="12" s="1"/>
  <c r="R7" i="12" s="1"/>
  <c r="B6" i="12" a="1"/>
  <c r="B6" i="12" s="1"/>
  <c r="U161" i="1"/>
  <c r="U158" i="1"/>
  <c r="U159" i="1" s="1"/>
  <c r="AC157" i="1"/>
  <c r="AC158" i="1" s="1"/>
  <c r="AC164" i="1" s="1"/>
  <c r="AB143" i="1"/>
  <c r="Y143" i="1"/>
  <c r="AB142" i="1"/>
  <c r="Y142" i="1"/>
  <c r="AA136" i="1"/>
  <c r="AA137" i="1"/>
  <c r="AA138" i="1"/>
  <c r="AA139" i="1"/>
  <c r="AA140" i="1"/>
  <c r="AA135" i="1"/>
  <c r="Z137" i="1"/>
  <c r="AC137" i="1" s="1"/>
  <c r="Z138" i="1"/>
  <c r="AC138" i="1" s="1"/>
  <c r="Z139" i="1"/>
  <c r="AC139" i="1" s="1"/>
  <c r="Z140" i="1"/>
  <c r="AC140" i="1" s="1"/>
  <c r="Z136" i="1"/>
  <c r="AC136" i="1" s="1"/>
  <c r="Z135" i="1"/>
  <c r="N163" i="1" a="1"/>
  <c r="N163" i="1" s="1"/>
  <c r="M163" i="1" a="1"/>
  <c r="M163" i="1" s="1"/>
  <c r="L163" i="1" a="1"/>
  <c r="L163" i="1" s="1"/>
  <c r="K163" i="1" a="1"/>
  <c r="K163" i="1" s="1"/>
  <c r="J163" i="1" a="1"/>
  <c r="J163" i="1" s="1"/>
  <c r="I163" i="1" a="1"/>
  <c r="I163" i="1" s="1"/>
  <c r="H163" i="1" a="1"/>
  <c r="H163" i="1" s="1"/>
  <c r="G163" i="1" a="1"/>
  <c r="G163" i="1" s="1"/>
  <c r="F163" i="1" a="1"/>
  <c r="F163" i="1" s="1"/>
  <c r="B167" i="1"/>
  <c r="B166" i="1"/>
  <c r="B165" i="1"/>
  <c r="N157" i="1" a="1"/>
  <c r="N157" i="1" s="1"/>
  <c r="M157" i="1" a="1"/>
  <c r="M157" i="1" s="1"/>
  <c r="L157" i="1" a="1"/>
  <c r="L157" i="1" s="1"/>
  <c r="K157" i="1" a="1"/>
  <c r="K157" i="1" s="1"/>
  <c r="J157" i="1" a="1"/>
  <c r="J157" i="1" s="1"/>
  <c r="I157" i="1" a="1"/>
  <c r="I157" i="1" s="1"/>
  <c r="H157" i="1" a="1"/>
  <c r="H157" i="1" s="1"/>
  <c r="G157" i="1" a="1"/>
  <c r="G157" i="1" s="1"/>
  <c r="F157" i="1" a="1"/>
  <c r="F157" i="1" s="1"/>
  <c r="B161" i="1"/>
  <c r="B160" i="1"/>
  <c r="B159" i="1"/>
  <c r="N151" i="1" a="1"/>
  <c r="N151" i="1" s="1"/>
  <c r="M151" i="1" a="1"/>
  <c r="M151" i="1" s="1"/>
  <c r="L151" i="1" a="1"/>
  <c r="L151" i="1" s="1"/>
  <c r="K151" i="1" a="1"/>
  <c r="K151" i="1" s="1"/>
  <c r="J151" i="1" a="1"/>
  <c r="J151" i="1" s="1"/>
  <c r="I151" i="1" a="1"/>
  <c r="I151" i="1" s="1"/>
  <c r="H151" i="1" a="1"/>
  <c r="H151" i="1" s="1"/>
  <c r="G151" i="1" a="1"/>
  <c r="G151" i="1" s="1"/>
  <c r="F151" i="1" a="1"/>
  <c r="F151" i="1" s="1"/>
  <c r="B155" i="1"/>
  <c r="B154" i="1"/>
  <c r="B153" i="1"/>
  <c r="B149" i="1"/>
  <c r="B148" i="1"/>
  <c r="B147" i="1"/>
  <c r="N145" i="1" a="1"/>
  <c r="N145" i="1" s="1"/>
  <c r="M145" i="1" a="1"/>
  <c r="M145" i="1" s="1"/>
  <c r="L145" i="1" a="1"/>
  <c r="L145" i="1" s="1"/>
  <c r="K145" i="1" a="1"/>
  <c r="K145" i="1" s="1"/>
  <c r="J145" i="1" a="1"/>
  <c r="J145" i="1" s="1"/>
  <c r="I145" i="1" a="1"/>
  <c r="I145" i="1" s="1"/>
  <c r="H145" i="1" a="1"/>
  <c r="H145" i="1" s="1"/>
  <c r="G145" i="1" a="1"/>
  <c r="G145" i="1" s="1"/>
  <c r="F145" i="1" a="1"/>
  <c r="F145" i="1" s="1"/>
  <c r="B143" i="1"/>
  <c r="B142" i="1"/>
  <c r="B141" i="1"/>
  <c r="N139" i="1" a="1"/>
  <c r="N139" i="1" s="1"/>
  <c r="M139" i="1" a="1"/>
  <c r="M139" i="1" s="1"/>
  <c r="L139" i="1" a="1"/>
  <c r="L139" i="1" s="1"/>
  <c r="K139" i="1" a="1"/>
  <c r="K139" i="1" s="1"/>
  <c r="J139" i="1" a="1"/>
  <c r="J139" i="1" s="1"/>
  <c r="I139" i="1" a="1"/>
  <c r="I139" i="1" s="1"/>
  <c r="H139" i="1" a="1"/>
  <c r="H139" i="1" s="1"/>
  <c r="G139" i="1" a="1"/>
  <c r="G139" i="1" s="1"/>
  <c r="F139" i="1" a="1"/>
  <c r="F139" i="1" s="1"/>
  <c r="I133" i="1" a="1"/>
  <c r="I133" i="1" s="1"/>
  <c r="J133" i="1" a="1"/>
  <c r="J133" i="1" s="1"/>
  <c r="K133" i="1" a="1"/>
  <c r="K133" i="1" s="1"/>
  <c r="L133" i="1" a="1"/>
  <c r="L133" i="1" s="1"/>
  <c r="M133" i="1" a="1"/>
  <c r="M133" i="1" s="1"/>
  <c r="N133" i="1" a="1"/>
  <c r="N133" i="1" s="1"/>
  <c r="F133" i="1" a="1"/>
  <c r="F133" i="1" s="1"/>
  <c r="H133" i="1" a="1"/>
  <c r="H133" i="1" s="1"/>
  <c r="G133" i="1" a="1"/>
  <c r="G133" i="1" s="1"/>
  <c r="B137" i="1"/>
  <c r="B136" i="1"/>
  <c r="B135" i="1"/>
  <c r="E282" i="12" l="1"/>
  <c r="D282" i="12" s="1"/>
  <c r="J134" i="12"/>
  <c r="J147" i="12" s="1"/>
  <c r="J149" i="12" s="1"/>
  <c r="H91" i="12"/>
  <c r="K90" i="12"/>
  <c r="J51" i="12"/>
  <c r="AA142" i="1"/>
  <c r="AA143" i="1"/>
  <c r="V157" i="1" s="1"/>
  <c r="Z142" i="1"/>
  <c r="AC135" i="1"/>
  <c r="Z143" i="1"/>
  <c r="Q585" i="3" a="1"/>
  <c r="Q585" i="3" s="1"/>
  <c r="E546" i="3" a="1"/>
  <c r="E546" i="3" s="1"/>
  <c r="K134" i="12" l="1"/>
  <c r="K147" i="12" s="1"/>
  <c r="K149" i="12" s="1"/>
  <c r="J108" i="12"/>
  <c r="K108" i="12" s="1"/>
  <c r="L108" i="12" s="1"/>
  <c r="M108" i="12" s="1"/>
  <c r="N108" i="12" s="1"/>
  <c r="O108" i="12" s="1"/>
  <c r="P108" i="12" s="1"/>
  <c r="Q108" i="12" s="1"/>
  <c r="R108" i="12" s="1"/>
  <c r="L90" i="12"/>
  <c r="L102" i="12" s="1"/>
  <c r="L104" i="12" s="1"/>
  <c r="K102" i="12"/>
  <c r="K104" i="12" s="1"/>
  <c r="AB164" i="1"/>
  <c r="V158" i="1"/>
  <c r="AB165" i="1" s="1"/>
  <c r="AC142" i="1"/>
  <c r="AC143" i="1"/>
  <c r="V149" i="1" s="1"/>
  <c r="L562" i="3"/>
  <c r="O559" i="3"/>
  <c r="D577" i="3"/>
  <c r="D578" i="3" s="1"/>
  <c r="D579" i="3" s="1"/>
  <c r="G574" i="3"/>
  <c r="H574" i="3" s="1"/>
  <c r="I574" i="3" s="1"/>
  <c r="AC91" i="1" a="1"/>
  <c r="AC91" i="1" s="1"/>
  <c r="AB91" i="1" a="1"/>
  <c r="AB91" i="1" s="1"/>
  <c r="AA91" i="1" a="1"/>
  <c r="AA91" i="1" s="1"/>
  <c r="Z91" i="1" a="1"/>
  <c r="Z91" i="1" s="1"/>
  <c r="Y91" i="1" a="1"/>
  <c r="Y91" i="1" s="1"/>
  <c r="X91" i="1" a="1"/>
  <c r="X91" i="1" s="1"/>
  <c r="W91" i="1" a="1"/>
  <c r="W91" i="1" s="1"/>
  <c r="V91" i="1" a="1"/>
  <c r="V91" i="1" s="1"/>
  <c r="U91" i="1" a="1"/>
  <c r="U91" i="1" s="1"/>
  <c r="T91" i="1" a="1"/>
  <c r="T91" i="1" s="1"/>
  <c r="S91" i="1" a="1"/>
  <c r="S91" i="1" s="1"/>
  <c r="R91" i="1" a="1"/>
  <c r="R91" i="1" s="1"/>
  <c r="Q91" i="1" a="1"/>
  <c r="Q91" i="1" s="1"/>
  <c r="P91" i="1" a="1"/>
  <c r="P91" i="1" s="1"/>
  <c r="O91" i="1" a="1"/>
  <c r="O91" i="1" s="1"/>
  <c r="N91" i="1" a="1"/>
  <c r="N91" i="1" s="1"/>
  <c r="M91" i="1" a="1"/>
  <c r="M91" i="1" s="1"/>
  <c r="L91" i="1" a="1"/>
  <c r="L91" i="1" s="1"/>
  <c r="K91" i="1" a="1"/>
  <c r="K91" i="1" s="1"/>
  <c r="J91" i="1" a="1"/>
  <c r="J91" i="1" s="1"/>
  <c r="I91" i="1" a="1"/>
  <c r="I91" i="1" s="1"/>
  <c r="H91" i="1" a="1"/>
  <c r="H91" i="1" s="1"/>
  <c r="G91" i="1" a="1"/>
  <c r="G91" i="1" s="1"/>
  <c r="F91" i="1" a="1"/>
  <c r="F91" i="1" s="1"/>
  <c r="G31" i="1" a="1"/>
  <c r="G31" i="1" s="1"/>
  <c r="AC31" i="1" a="1"/>
  <c r="AC31" i="1" s="1"/>
  <c r="AB31" i="1" a="1"/>
  <c r="AB31" i="1" s="1"/>
  <c r="AA31" i="1" a="1"/>
  <c r="AA31" i="1" s="1"/>
  <c r="Z31" i="1" a="1"/>
  <c r="Z31" i="1" s="1"/>
  <c r="Y31" i="1" a="1"/>
  <c r="Y31" i="1" s="1"/>
  <c r="X31" i="1" a="1"/>
  <c r="X31" i="1" s="1"/>
  <c r="W31" i="1" a="1"/>
  <c r="W31" i="1" s="1"/>
  <c r="V31" i="1" a="1"/>
  <c r="V31" i="1" s="1"/>
  <c r="U31" i="1" a="1"/>
  <c r="U31" i="1" s="1"/>
  <c r="T31" i="1" a="1"/>
  <c r="T31" i="1" s="1"/>
  <c r="S31" i="1" a="1"/>
  <c r="S31" i="1" s="1"/>
  <c r="R31" i="1" a="1"/>
  <c r="R31" i="1" s="1"/>
  <c r="Q31" i="1" a="1"/>
  <c r="Q31" i="1" s="1"/>
  <c r="P31" i="1" a="1"/>
  <c r="P31" i="1" s="1"/>
  <c r="O31" i="1" a="1"/>
  <c r="O31" i="1" s="1"/>
  <c r="N31" i="1" a="1"/>
  <c r="N31" i="1" s="1"/>
  <c r="M31" i="1" a="1"/>
  <c r="M31" i="1" s="1"/>
  <c r="L31" i="1" a="1"/>
  <c r="L31" i="1" s="1"/>
  <c r="K31" i="1" a="1"/>
  <c r="K31" i="1" s="1"/>
  <c r="J31" i="1" a="1"/>
  <c r="J31" i="1" s="1"/>
  <c r="I31" i="1" a="1"/>
  <c r="I31" i="1" s="1"/>
  <c r="H31" i="1" a="1"/>
  <c r="H31" i="1" s="1"/>
  <c r="F31" i="1" a="1"/>
  <c r="F31" i="1" s="1"/>
  <c r="AC25" i="1" a="1"/>
  <c r="AC25" i="1" s="1"/>
  <c r="AB25" i="1" a="1"/>
  <c r="AB25" i="1" s="1"/>
  <c r="AA25" i="1" a="1"/>
  <c r="AA25" i="1" s="1"/>
  <c r="Z25" i="1" a="1"/>
  <c r="Z25" i="1" s="1"/>
  <c r="Y25" i="1" a="1"/>
  <c r="Y25" i="1" s="1"/>
  <c r="X25" i="1" a="1"/>
  <c r="X25" i="1" s="1"/>
  <c r="W25" i="1" a="1"/>
  <c r="W25" i="1" s="1"/>
  <c r="V25" i="1" a="1"/>
  <c r="V25" i="1" s="1"/>
  <c r="U25" i="1" a="1"/>
  <c r="U25" i="1" s="1"/>
  <c r="T25" i="1" a="1"/>
  <c r="T25" i="1" s="1"/>
  <c r="S25" i="1" a="1"/>
  <c r="S25" i="1" s="1"/>
  <c r="R25" i="1" a="1"/>
  <c r="R25" i="1" s="1"/>
  <c r="Q25" i="1" a="1"/>
  <c r="Q25" i="1" s="1"/>
  <c r="P25" i="1" a="1"/>
  <c r="P25" i="1" s="1"/>
  <c r="O25" i="1" a="1"/>
  <c r="O25" i="1" s="1"/>
  <c r="N25" i="1" a="1"/>
  <c r="N25" i="1" s="1"/>
  <c r="M25" i="1" a="1"/>
  <c r="M25" i="1" s="1"/>
  <c r="L25" i="1" a="1"/>
  <c r="L25" i="1" s="1"/>
  <c r="K25" i="1" a="1"/>
  <c r="K25" i="1" s="1"/>
  <c r="J25" i="1" a="1"/>
  <c r="J25" i="1" s="1"/>
  <c r="I25" i="1" a="1"/>
  <c r="I25" i="1" s="1"/>
  <c r="H25" i="1" a="1"/>
  <c r="H25" i="1" s="1"/>
  <c r="G25" i="1" a="1"/>
  <c r="G25" i="1" s="1"/>
  <c r="F25" i="1" a="1"/>
  <c r="F25" i="1" s="1"/>
  <c r="AC19" i="1" a="1"/>
  <c r="AC19" i="1" s="1"/>
  <c r="AB19" i="1" a="1"/>
  <c r="AB19" i="1" s="1"/>
  <c r="AA19" i="1" a="1"/>
  <c r="AA19" i="1" s="1"/>
  <c r="Z19" i="1" a="1"/>
  <c r="Z19" i="1" s="1"/>
  <c r="Y19" i="1" a="1"/>
  <c r="Y19" i="1" s="1"/>
  <c r="X19" i="1" a="1"/>
  <c r="X19" i="1" s="1"/>
  <c r="W19" i="1" a="1"/>
  <c r="W19" i="1" s="1"/>
  <c r="V19" i="1" a="1"/>
  <c r="V19" i="1" s="1"/>
  <c r="U19" i="1" a="1"/>
  <c r="U19" i="1" s="1"/>
  <c r="T19" i="1" a="1"/>
  <c r="T19" i="1" s="1"/>
  <c r="S19" i="1" a="1"/>
  <c r="S19" i="1" s="1"/>
  <c r="R19" i="1" a="1"/>
  <c r="R19" i="1" s="1"/>
  <c r="Q19" i="1" a="1"/>
  <c r="Q19" i="1" s="1"/>
  <c r="P19" i="1" a="1"/>
  <c r="P19" i="1" s="1"/>
  <c r="O19" i="1" a="1"/>
  <c r="O19" i="1" s="1"/>
  <c r="N19" i="1" a="1"/>
  <c r="N19" i="1" s="1"/>
  <c r="M19" i="1" a="1"/>
  <c r="M19" i="1" s="1"/>
  <c r="L19" i="1" a="1"/>
  <c r="L19" i="1" s="1"/>
  <c r="K19" i="1" a="1"/>
  <c r="K19" i="1" s="1"/>
  <c r="J19" i="1" a="1"/>
  <c r="J19" i="1" s="1"/>
  <c r="I19" i="1" a="1"/>
  <c r="I19" i="1" s="1"/>
  <c r="H19" i="1" a="1"/>
  <c r="H19" i="1" s="1"/>
  <c r="G19" i="1" a="1"/>
  <c r="G19" i="1" s="1"/>
  <c r="F19" i="1" a="1"/>
  <c r="F19" i="1" s="1"/>
  <c r="L13" i="1" a="1"/>
  <c r="L13" i="1" s="1"/>
  <c r="AC13" i="1" a="1"/>
  <c r="AC13" i="1" s="1"/>
  <c r="AB13" i="1" a="1"/>
  <c r="AB13" i="1" s="1"/>
  <c r="AA13" i="1" a="1"/>
  <c r="AA13" i="1" s="1"/>
  <c r="Z13" i="1" a="1"/>
  <c r="Z13" i="1" s="1"/>
  <c r="Y13" i="1" a="1"/>
  <c r="Y13" i="1" s="1"/>
  <c r="X13" i="1" a="1"/>
  <c r="X13" i="1" s="1"/>
  <c r="W13" i="1" a="1"/>
  <c r="W13" i="1" s="1"/>
  <c r="V13" i="1" a="1"/>
  <c r="V13" i="1" s="1"/>
  <c r="U13" i="1" a="1"/>
  <c r="U13" i="1" s="1"/>
  <c r="T13" i="1" a="1"/>
  <c r="T13" i="1" s="1"/>
  <c r="S13" i="1" a="1"/>
  <c r="S13" i="1" s="1"/>
  <c r="R13" i="1" a="1"/>
  <c r="R13" i="1" s="1"/>
  <c r="Q13" i="1" a="1"/>
  <c r="Q13" i="1" s="1"/>
  <c r="P13" i="1" a="1"/>
  <c r="P13" i="1" s="1"/>
  <c r="O13" i="1" a="1"/>
  <c r="O13" i="1" s="1"/>
  <c r="N13" i="1" a="1"/>
  <c r="N13" i="1" s="1"/>
  <c r="M13" i="1" a="1"/>
  <c r="M13" i="1" s="1"/>
  <c r="K13" i="1" a="1"/>
  <c r="K13" i="1" s="1"/>
  <c r="J13" i="1" a="1"/>
  <c r="J13" i="1" s="1"/>
  <c r="I13" i="1" a="1"/>
  <c r="I13" i="1" s="1"/>
  <c r="H13" i="1" a="1"/>
  <c r="H13" i="1" s="1"/>
  <c r="G13" i="1" a="1"/>
  <c r="G13" i="1" s="1"/>
  <c r="F13" i="1" a="1"/>
  <c r="F13" i="1" s="1"/>
  <c r="N559" i="3"/>
  <c r="M559" i="3" s="1"/>
  <c r="L561" i="3"/>
  <c r="L560" i="3" s="1"/>
  <c r="E548" i="3"/>
  <c r="E547" i="3"/>
  <c r="L134" i="12" l="1"/>
  <c r="L147" i="12" s="1"/>
  <c r="L149" i="12" s="1"/>
  <c r="M90" i="12"/>
  <c r="M102" i="12" s="1"/>
  <c r="M104" i="12" s="1"/>
  <c r="V159" i="1"/>
  <c r="V161" i="1"/>
  <c r="V150" i="1" s="1"/>
  <c r="V151" i="1" s="1"/>
  <c r="G547" i="3"/>
  <c r="G548" i="3"/>
  <c r="G549" i="3"/>
  <c r="G550" i="3"/>
  <c r="G551" i="3"/>
  <c r="P559" i="3"/>
  <c r="Q559" i="3" s="1"/>
  <c r="D576" i="3"/>
  <c r="D575" i="3" s="1"/>
  <c r="L563" i="3"/>
  <c r="L564" i="3" s="1"/>
  <c r="F574" i="3"/>
  <c r="E574" i="3" s="1"/>
  <c r="B542" i="3" a="1"/>
  <c r="B542" i="3" s="1"/>
  <c r="R207" i="11"/>
  <c r="Q207" i="11"/>
  <c r="R196" i="11"/>
  <c r="Q196" i="11"/>
  <c r="G150" i="3"/>
  <c r="B501" i="3" a="1"/>
  <c r="B501" i="3" s="1"/>
  <c r="G205" i="3"/>
  <c r="G486" i="3"/>
  <c r="G481" i="3"/>
  <c r="G454" i="3"/>
  <c r="G444" i="3"/>
  <c r="G410" i="3"/>
  <c r="G407" i="3"/>
  <c r="G377" i="3"/>
  <c r="G375" i="3"/>
  <c r="G370" i="3"/>
  <c r="G329" i="3"/>
  <c r="G348" i="3" s="1"/>
  <c r="G324" i="3"/>
  <c r="G346" i="3" s="1"/>
  <c r="G228" i="3"/>
  <c r="G221" i="3"/>
  <c r="G215" i="3"/>
  <c r="G214" i="3"/>
  <c r="G200" i="3"/>
  <c r="G240" i="3" s="1"/>
  <c r="G195" i="3"/>
  <c r="G190" i="3"/>
  <c r="G226" i="3" s="1"/>
  <c r="G185" i="3"/>
  <c r="G219" i="3" s="1"/>
  <c r="G180" i="3"/>
  <c r="G212" i="3" s="1"/>
  <c r="G135" i="3"/>
  <c r="G129" i="3"/>
  <c r="G158" i="3"/>
  <c r="G141" i="3"/>
  <c r="G73" i="3"/>
  <c r="AC149" i="1" l="1"/>
  <c r="AC152" i="1" s="1"/>
  <c r="AC167" i="1" s="1"/>
  <c r="M134" i="12"/>
  <c r="M147" i="12" s="1"/>
  <c r="M149" i="12" s="1"/>
  <c r="N90" i="12"/>
  <c r="N102" i="12" s="1"/>
  <c r="N104" i="12" s="1"/>
  <c r="G31" i="3"/>
  <c r="W297" i="11"/>
  <c r="B289" i="11" a="1"/>
  <c r="B289" i="11" s="1"/>
  <c r="R276" i="11"/>
  <c r="Q276" i="11"/>
  <c r="B254" i="11" a="1"/>
  <c r="B254" i="11" s="1"/>
  <c r="AG260" i="11"/>
  <c r="AH260" i="11"/>
  <c r="AI260" i="11"/>
  <c r="AJ260" i="11"/>
  <c r="AK260" i="11"/>
  <c r="AL260" i="11"/>
  <c r="AM260" i="11"/>
  <c r="AN260" i="11"/>
  <c r="AO260" i="11"/>
  <c r="AP260" i="11"/>
  <c r="AQ260" i="11"/>
  <c r="AR260" i="11"/>
  <c r="AS260" i="11"/>
  <c r="AT260" i="11"/>
  <c r="AU260" i="11"/>
  <c r="AV260" i="11"/>
  <c r="AW260" i="11"/>
  <c r="AX260" i="11"/>
  <c r="AY260" i="11"/>
  <c r="AZ260" i="11"/>
  <c r="BA260" i="11"/>
  <c r="BB260" i="11"/>
  <c r="BC260" i="11"/>
  <c r="R277" i="11" s="1"/>
  <c r="AF260" i="11"/>
  <c r="U241" i="11"/>
  <c r="Q241" i="11"/>
  <c r="U232" i="11"/>
  <c r="Q232" i="11"/>
  <c r="B220" i="11" a="1"/>
  <c r="B220" i="11" s="1"/>
  <c r="L155" i="12" l="1"/>
  <c r="N110" i="12"/>
  <c r="M155" i="12"/>
  <c r="J155" i="12"/>
  <c r="K155" i="12"/>
  <c r="J110" i="12"/>
  <c r="K110" i="12"/>
  <c r="L110" i="12"/>
  <c r="N134" i="12"/>
  <c r="N147" i="12" s="1"/>
  <c r="N149" i="12" s="1"/>
  <c r="N155" i="12" s="1"/>
  <c r="O90" i="12"/>
  <c r="O102" i="12" s="1"/>
  <c r="O104" i="12" s="1"/>
  <c r="O110" i="12" s="1"/>
  <c r="B130" i="11" a="1"/>
  <c r="B130" i="11" s="1"/>
  <c r="B68" i="11" a="1"/>
  <c r="B68" i="11" s="1"/>
  <c r="M110" i="12" l="1"/>
  <c r="O134" i="12"/>
  <c r="O147" i="12" s="1"/>
  <c r="O149" i="12" s="1"/>
  <c r="O155" i="12" s="1"/>
  <c r="P90" i="12"/>
  <c r="P102" i="12" s="1"/>
  <c r="P104" i="12" s="1"/>
  <c r="P110" i="12" s="1"/>
  <c r="H478" i="3"/>
  <c r="I478" i="3"/>
  <c r="J478" i="3"/>
  <c r="K478" i="3"/>
  <c r="L478" i="3"/>
  <c r="M478" i="3"/>
  <c r="N478" i="3"/>
  <c r="O478" i="3"/>
  <c r="P478" i="3"/>
  <c r="Q478" i="3"/>
  <c r="R478" i="3"/>
  <c r="S478" i="3"/>
  <c r="T478" i="3"/>
  <c r="U478" i="3"/>
  <c r="V478" i="3"/>
  <c r="W478" i="3"/>
  <c r="X478" i="3"/>
  <c r="Y478" i="3"/>
  <c r="Z478" i="3"/>
  <c r="AA478" i="3"/>
  <c r="AB478" i="3"/>
  <c r="AC478" i="3"/>
  <c r="AD478" i="3"/>
  <c r="G478" i="3"/>
  <c r="G488" i="3" s="1"/>
  <c r="C284" i="12" l="1"/>
  <c r="C283" i="12" s="1"/>
  <c r="C286" i="12"/>
  <c r="C287" i="12" s="1"/>
  <c r="P134" i="12"/>
  <c r="P147" i="12" s="1"/>
  <c r="P149" i="12" s="1"/>
  <c r="P155" i="12" s="1"/>
  <c r="Q90" i="12"/>
  <c r="Q102" i="12" s="1"/>
  <c r="Q104" i="12" s="1"/>
  <c r="Q110" i="12" s="1"/>
  <c r="H488" i="3"/>
  <c r="H68" i="3" s="1"/>
  <c r="I488" i="3"/>
  <c r="I68" i="3" s="1"/>
  <c r="J488" i="3"/>
  <c r="J68" i="3" s="1"/>
  <c r="K488" i="3"/>
  <c r="K68" i="3" s="1"/>
  <c r="L488" i="3"/>
  <c r="L68" i="3" s="1"/>
  <c r="M488" i="3"/>
  <c r="M68" i="3" s="1"/>
  <c r="N488" i="3"/>
  <c r="N68" i="3" s="1"/>
  <c r="O488" i="3"/>
  <c r="O68" i="3" s="1"/>
  <c r="P488" i="3"/>
  <c r="P68" i="3" s="1"/>
  <c r="Q488" i="3"/>
  <c r="Q68" i="3" s="1"/>
  <c r="R488" i="3"/>
  <c r="R68" i="3" s="1"/>
  <c r="S488" i="3"/>
  <c r="S68" i="3" s="1"/>
  <c r="T488" i="3"/>
  <c r="T68" i="3" s="1"/>
  <c r="U488" i="3"/>
  <c r="U68" i="3" s="1"/>
  <c r="V488" i="3"/>
  <c r="V68" i="3" s="1"/>
  <c r="W488" i="3"/>
  <c r="W68" i="3" s="1"/>
  <c r="X488" i="3"/>
  <c r="X68" i="3" s="1"/>
  <c r="Y488" i="3"/>
  <c r="Y68" i="3" s="1"/>
  <c r="Z488" i="3"/>
  <c r="Z68" i="3" s="1"/>
  <c r="AA488" i="3"/>
  <c r="AA68" i="3" s="1"/>
  <c r="AB488" i="3"/>
  <c r="AB68" i="3" s="1"/>
  <c r="AC488" i="3"/>
  <c r="AC68" i="3" s="1"/>
  <c r="AD488" i="3"/>
  <c r="AD68" i="3" s="1"/>
  <c r="G68" i="3"/>
  <c r="H438" i="3"/>
  <c r="H449" i="3" s="1"/>
  <c r="I438" i="3"/>
  <c r="I449" i="3" s="1"/>
  <c r="J438" i="3"/>
  <c r="J449" i="3" s="1"/>
  <c r="K438" i="3"/>
  <c r="K449" i="3" s="1"/>
  <c r="L438" i="3"/>
  <c r="L449" i="3" s="1"/>
  <c r="M438" i="3"/>
  <c r="M449" i="3" s="1"/>
  <c r="N438" i="3"/>
  <c r="N449" i="3" s="1"/>
  <c r="O438" i="3"/>
  <c r="O449" i="3" s="1"/>
  <c r="P438" i="3"/>
  <c r="P449" i="3" s="1"/>
  <c r="Q438" i="3"/>
  <c r="Q449" i="3" s="1"/>
  <c r="R438" i="3"/>
  <c r="R449" i="3" s="1"/>
  <c r="S438" i="3"/>
  <c r="S449" i="3" s="1"/>
  <c r="T438" i="3"/>
  <c r="T449" i="3" s="1"/>
  <c r="U438" i="3"/>
  <c r="U449" i="3" s="1"/>
  <c r="V438" i="3"/>
  <c r="V449" i="3" s="1"/>
  <c r="W438" i="3"/>
  <c r="W449" i="3" s="1"/>
  <c r="X438" i="3"/>
  <c r="X449" i="3" s="1"/>
  <c r="Y438" i="3"/>
  <c r="Y449" i="3" s="1"/>
  <c r="Z438" i="3"/>
  <c r="Z449" i="3" s="1"/>
  <c r="AA438" i="3"/>
  <c r="AA449" i="3" s="1"/>
  <c r="AB438" i="3"/>
  <c r="AB449" i="3" s="1"/>
  <c r="AC438" i="3"/>
  <c r="AC449" i="3" s="1"/>
  <c r="AD438" i="3"/>
  <c r="AD449" i="3" s="1"/>
  <c r="G438" i="3"/>
  <c r="G449" i="3" s="1"/>
  <c r="H436" i="3"/>
  <c r="I436" i="3"/>
  <c r="J436" i="3"/>
  <c r="K436" i="3"/>
  <c r="L436" i="3"/>
  <c r="M436" i="3"/>
  <c r="N436" i="3"/>
  <c r="O436" i="3"/>
  <c r="P436" i="3"/>
  <c r="Q436" i="3"/>
  <c r="R436" i="3"/>
  <c r="S436" i="3"/>
  <c r="T436" i="3"/>
  <c r="U436" i="3"/>
  <c r="V436" i="3"/>
  <c r="W436" i="3"/>
  <c r="X436" i="3"/>
  <c r="Y436" i="3"/>
  <c r="Z436" i="3"/>
  <c r="AA436" i="3"/>
  <c r="AB436" i="3"/>
  <c r="AC436" i="3"/>
  <c r="AD436" i="3"/>
  <c r="H437" i="3"/>
  <c r="I437" i="3"/>
  <c r="J437" i="3"/>
  <c r="K437" i="3"/>
  <c r="L437" i="3"/>
  <c r="M437" i="3"/>
  <c r="N437" i="3"/>
  <c r="O437" i="3"/>
  <c r="P437" i="3"/>
  <c r="Q437" i="3"/>
  <c r="R437" i="3"/>
  <c r="S437" i="3"/>
  <c r="T437" i="3"/>
  <c r="U437" i="3"/>
  <c r="V437" i="3"/>
  <c r="W437" i="3"/>
  <c r="X437" i="3"/>
  <c r="Y437" i="3"/>
  <c r="Z437" i="3"/>
  <c r="AA437" i="3"/>
  <c r="AB437" i="3"/>
  <c r="AC437" i="3"/>
  <c r="AD437" i="3"/>
  <c r="G437" i="3"/>
  <c r="G436" i="3"/>
  <c r="Q134" i="12" l="1"/>
  <c r="Q147" i="12" s="1"/>
  <c r="Q149" i="12" s="1"/>
  <c r="Q155" i="12" s="1"/>
  <c r="R90" i="12"/>
  <c r="S90" i="12" s="1"/>
  <c r="H407" i="3"/>
  <c r="I407" i="3"/>
  <c r="J407" i="3"/>
  <c r="K407" i="3"/>
  <c r="L407" i="3"/>
  <c r="M407" i="3"/>
  <c r="N407" i="3"/>
  <c r="O407" i="3"/>
  <c r="P407" i="3"/>
  <c r="Q407" i="3"/>
  <c r="R407" i="3"/>
  <c r="S407" i="3"/>
  <c r="T407" i="3"/>
  <c r="U407" i="3"/>
  <c r="V407" i="3"/>
  <c r="W407" i="3"/>
  <c r="X407" i="3"/>
  <c r="Y407" i="3"/>
  <c r="Z407" i="3"/>
  <c r="AA407" i="3"/>
  <c r="AB407" i="3"/>
  <c r="AC407" i="3"/>
  <c r="AD407" i="3"/>
  <c r="H406" i="3"/>
  <c r="I406" i="3"/>
  <c r="J406" i="3"/>
  <c r="K406" i="3"/>
  <c r="L406" i="3"/>
  <c r="M406" i="3"/>
  <c r="N406" i="3"/>
  <c r="O406" i="3"/>
  <c r="P406" i="3"/>
  <c r="Q406" i="3"/>
  <c r="R406" i="3"/>
  <c r="S406" i="3"/>
  <c r="T406" i="3"/>
  <c r="U406" i="3"/>
  <c r="V406" i="3"/>
  <c r="W406" i="3"/>
  <c r="X406" i="3"/>
  <c r="Y406" i="3"/>
  <c r="Z406" i="3"/>
  <c r="AA406" i="3"/>
  <c r="AB406" i="3"/>
  <c r="AC406" i="3"/>
  <c r="AD406" i="3"/>
  <c r="G406" i="3"/>
  <c r="H405" i="3"/>
  <c r="I405" i="3"/>
  <c r="J405" i="3"/>
  <c r="K405" i="3"/>
  <c r="L405" i="3"/>
  <c r="M405" i="3"/>
  <c r="N405" i="3"/>
  <c r="O405" i="3"/>
  <c r="P405" i="3"/>
  <c r="Q405" i="3"/>
  <c r="R405" i="3"/>
  <c r="S405" i="3"/>
  <c r="T405" i="3"/>
  <c r="U405" i="3"/>
  <c r="V405" i="3"/>
  <c r="W405" i="3"/>
  <c r="X405" i="3"/>
  <c r="Y405" i="3"/>
  <c r="Z405" i="3"/>
  <c r="AA405" i="3"/>
  <c r="AB405" i="3"/>
  <c r="AC405" i="3"/>
  <c r="AD405" i="3"/>
  <c r="G405" i="3"/>
  <c r="H377" i="3"/>
  <c r="I377" i="3"/>
  <c r="J377" i="3"/>
  <c r="K377" i="3"/>
  <c r="L377" i="3"/>
  <c r="M377" i="3"/>
  <c r="N377" i="3"/>
  <c r="O377" i="3"/>
  <c r="P377" i="3"/>
  <c r="Q377" i="3"/>
  <c r="R377" i="3"/>
  <c r="S377" i="3"/>
  <c r="T377" i="3"/>
  <c r="U377" i="3"/>
  <c r="V377" i="3"/>
  <c r="W377" i="3"/>
  <c r="X377" i="3"/>
  <c r="Y377" i="3"/>
  <c r="Z377" i="3"/>
  <c r="AA377" i="3"/>
  <c r="AB377" i="3"/>
  <c r="AC377" i="3"/>
  <c r="AD377" i="3"/>
  <c r="H378" i="3"/>
  <c r="I378" i="3"/>
  <c r="J378" i="3"/>
  <c r="K378" i="3"/>
  <c r="L378" i="3"/>
  <c r="M378" i="3"/>
  <c r="N378" i="3"/>
  <c r="O378" i="3"/>
  <c r="P378" i="3"/>
  <c r="Q378" i="3"/>
  <c r="R378" i="3"/>
  <c r="S378" i="3"/>
  <c r="T378" i="3"/>
  <c r="U378" i="3"/>
  <c r="V378" i="3"/>
  <c r="W378" i="3"/>
  <c r="X378" i="3"/>
  <c r="Y378" i="3"/>
  <c r="Z378" i="3"/>
  <c r="AA378" i="3"/>
  <c r="AB378" i="3"/>
  <c r="AC378" i="3"/>
  <c r="AD378" i="3"/>
  <c r="G378" i="3"/>
  <c r="H375" i="3"/>
  <c r="I375" i="3"/>
  <c r="J375" i="3"/>
  <c r="K375" i="3"/>
  <c r="L375" i="3"/>
  <c r="M375" i="3"/>
  <c r="N375" i="3"/>
  <c r="O375" i="3"/>
  <c r="P375" i="3"/>
  <c r="Q375" i="3"/>
  <c r="R375" i="3"/>
  <c r="S375" i="3"/>
  <c r="T375" i="3"/>
  <c r="U375" i="3"/>
  <c r="V375" i="3"/>
  <c r="W375" i="3"/>
  <c r="X375" i="3"/>
  <c r="Y375" i="3"/>
  <c r="Z375" i="3"/>
  <c r="AA375" i="3"/>
  <c r="AB375" i="3"/>
  <c r="AC375" i="3"/>
  <c r="AD375" i="3"/>
  <c r="H376" i="3"/>
  <c r="I376" i="3"/>
  <c r="J376" i="3"/>
  <c r="K376" i="3"/>
  <c r="L376" i="3"/>
  <c r="M376" i="3"/>
  <c r="N376" i="3"/>
  <c r="O376" i="3"/>
  <c r="P376" i="3"/>
  <c r="Q376" i="3"/>
  <c r="R376" i="3"/>
  <c r="S376" i="3"/>
  <c r="T376" i="3"/>
  <c r="U376" i="3"/>
  <c r="V376" i="3"/>
  <c r="W376" i="3"/>
  <c r="X376" i="3"/>
  <c r="Y376" i="3"/>
  <c r="Z376" i="3"/>
  <c r="AA376" i="3"/>
  <c r="AB376" i="3"/>
  <c r="AC376" i="3"/>
  <c r="AD376" i="3"/>
  <c r="G376" i="3"/>
  <c r="H370" i="3"/>
  <c r="I370" i="3"/>
  <c r="J370" i="3"/>
  <c r="K370" i="3"/>
  <c r="L370" i="3"/>
  <c r="M370" i="3"/>
  <c r="N370" i="3"/>
  <c r="O370" i="3"/>
  <c r="P370" i="3"/>
  <c r="Q370" i="3"/>
  <c r="R370" i="3"/>
  <c r="S370" i="3"/>
  <c r="T370" i="3"/>
  <c r="U370" i="3"/>
  <c r="V370" i="3"/>
  <c r="W370" i="3"/>
  <c r="X370" i="3"/>
  <c r="Y370" i="3"/>
  <c r="Z370" i="3"/>
  <c r="AA370" i="3"/>
  <c r="AB370" i="3"/>
  <c r="AC370" i="3"/>
  <c r="AD370" i="3"/>
  <c r="R134" i="12" l="1"/>
  <c r="R147" i="12" s="1"/>
  <c r="R149" i="12" s="1"/>
  <c r="R155" i="12" s="1"/>
  <c r="R102" i="12"/>
  <c r="B471" i="3" a="1"/>
  <c r="B471" i="3" s="1"/>
  <c r="B430" i="3" a="1"/>
  <c r="B430" i="3" s="1"/>
  <c r="B399" i="3" a="1"/>
  <c r="B399" i="3" s="1"/>
  <c r="B365" i="3" a="1"/>
  <c r="B365" i="3" s="1"/>
  <c r="B87" i="1"/>
  <c r="B86" i="1"/>
  <c r="B85" i="1"/>
  <c r="AC83" i="1" a="1"/>
  <c r="AC83" i="1" s="1"/>
  <c r="AB83" i="1" a="1"/>
  <c r="AB83" i="1" s="1"/>
  <c r="AA83" i="1" a="1"/>
  <c r="AA83" i="1" s="1"/>
  <c r="Z83" i="1" a="1"/>
  <c r="Z83" i="1" s="1"/>
  <c r="Y83" i="1" a="1"/>
  <c r="Y83" i="1" s="1"/>
  <c r="X83" i="1" a="1"/>
  <c r="X83" i="1" s="1"/>
  <c r="W83" i="1" a="1"/>
  <c r="W83" i="1" s="1"/>
  <c r="V83" i="1" a="1"/>
  <c r="V83" i="1" s="1"/>
  <c r="U83" i="1" a="1"/>
  <c r="U83" i="1" s="1"/>
  <c r="T83" i="1" a="1"/>
  <c r="T83" i="1" s="1"/>
  <c r="S83" i="1" a="1"/>
  <c r="S83" i="1" s="1"/>
  <c r="R83" i="1" a="1"/>
  <c r="R83" i="1" s="1"/>
  <c r="Q83" i="1" a="1"/>
  <c r="Q83" i="1" s="1"/>
  <c r="P83" i="1" a="1"/>
  <c r="P83" i="1" s="1"/>
  <c r="O83" i="1" a="1"/>
  <c r="O83" i="1" s="1"/>
  <c r="N83" i="1" a="1"/>
  <c r="N83" i="1" s="1"/>
  <c r="M83" i="1" a="1"/>
  <c r="M83" i="1" s="1"/>
  <c r="L83" i="1" a="1"/>
  <c r="L83" i="1" s="1"/>
  <c r="K83" i="1" a="1"/>
  <c r="K83" i="1" s="1"/>
  <c r="J83" i="1" a="1"/>
  <c r="J83" i="1" s="1"/>
  <c r="I83" i="1" a="1"/>
  <c r="I83" i="1" s="1"/>
  <c r="H83" i="1" a="1"/>
  <c r="H83" i="1" s="1"/>
  <c r="G83" i="1" a="1"/>
  <c r="G83" i="1" s="1"/>
  <c r="F83" i="1" a="1"/>
  <c r="F83" i="1" s="1"/>
  <c r="B271" i="3" a="1"/>
  <c r="B271" i="3" s="1"/>
  <c r="B85" i="3" a="1"/>
  <c r="B85" i="3" s="1"/>
  <c r="B45" i="3" a="1"/>
  <c r="B45" i="3" s="1"/>
  <c r="B6" i="3" a="1"/>
  <c r="B6" i="3" s="1"/>
  <c r="S134" i="12" l="1"/>
  <c r="D135" i="12" s="1"/>
  <c r="G130" i="3"/>
  <c r="F9" i="1"/>
  <c r="F97" i="1" a="1"/>
  <c r="F97" i="1" s="1"/>
  <c r="B314" i="3" a="1"/>
  <c r="B314" i="3" s="1"/>
  <c r="S147" i="12" l="1"/>
  <c r="G9" i="1"/>
  <c r="H7" i="3" s="1"/>
  <c r="H502" i="3" s="1"/>
  <c r="G7" i="3"/>
  <c r="G502" i="3" s="1"/>
  <c r="B288" i="3" a="1"/>
  <c r="B288" i="3" s="1"/>
  <c r="G272" i="3" l="1"/>
  <c r="G431" i="3"/>
  <c r="G400" i="3"/>
  <c r="G366" i="3"/>
  <c r="G472" i="3"/>
  <c r="H272" i="3"/>
  <c r="H400" i="3"/>
  <c r="H366" i="3"/>
  <c r="H472" i="3"/>
  <c r="H431" i="3"/>
  <c r="G126" i="3"/>
  <c r="G289" i="3"/>
  <c r="G86" i="3"/>
  <c r="G174" i="3"/>
  <c r="G46" i="3"/>
  <c r="G315" i="3"/>
  <c r="H126" i="3"/>
  <c r="H46" i="3"/>
  <c r="H174" i="3"/>
  <c r="H289" i="3"/>
  <c r="H86" i="3"/>
  <c r="H315" i="3"/>
  <c r="AD229" i="3"/>
  <c r="H214" i="3"/>
  <c r="I214" i="3"/>
  <c r="J214" i="3"/>
  <c r="K214" i="3"/>
  <c r="L214" i="3"/>
  <c r="M214" i="3"/>
  <c r="N214" i="3"/>
  <c r="O214" i="3"/>
  <c r="P214" i="3"/>
  <c r="Q214" i="3"/>
  <c r="R214" i="3"/>
  <c r="S214" i="3"/>
  <c r="T214" i="3"/>
  <c r="U214" i="3"/>
  <c r="V214" i="3"/>
  <c r="W214" i="3"/>
  <c r="X214" i="3"/>
  <c r="Y214" i="3"/>
  <c r="Z214" i="3"/>
  <c r="AA214" i="3"/>
  <c r="AB214" i="3"/>
  <c r="AC214" i="3"/>
  <c r="AD214" i="3"/>
  <c r="H215" i="3"/>
  <c r="I215" i="3"/>
  <c r="J215" i="3"/>
  <c r="K215" i="3"/>
  <c r="L215" i="3"/>
  <c r="M215" i="3"/>
  <c r="N215" i="3"/>
  <c r="O215" i="3"/>
  <c r="P215" i="3"/>
  <c r="Q215" i="3"/>
  <c r="R215" i="3"/>
  <c r="S215" i="3"/>
  <c r="T215" i="3"/>
  <c r="U215" i="3"/>
  <c r="V215" i="3"/>
  <c r="W215" i="3"/>
  <c r="X215" i="3"/>
  <c r="Y215" i="3"/>
  <c r="Z215" i="3"/>
  <c r="AA215" i="3"/>
  <c r="AB215" i="3"/>
  <c r="AC215" i="3"/>
  <c r="AD215" i="3"/>
  <c r="H221" i="3"/>
  <c r="I221" i="3"/>
  <c r="J221" i="3"/>
  <c r="K221" i="3"/>
  <c r="L221" i="3"/>
  <c r="M221" i="3"/>
  <c r="N221" i="3"/>
  <c r="O221" i="3"/>
  <c r="P221" i="3"/>
  <c r="Q221" i="3"/>
  <c r="R221" i="3"/>
  <c r="S221" i="3"/>
  <c r="T221" i="3"/>
  <c r="U221" i="3"/>
  <c r="V221" i="3"/>
  <c r="W221" i="3"/>
  <c r="X221" i="3"/>
  <c r="Y221" i="3"/>
  <c r="Z221" i="3"/>
  <c r="AA221" i="3"/>
  <c r="AB221" i="3"/>
  <c r="AC221" i="3"/>
  <c r="AD221" i="3"/>
  <c r="H222" i="3"/>
  <c r="I222" i="3"/>
  <c r="J222" i="3"/>
  <c r="K222" i="3"/>
  <c r="L222" i="3"/>
  <c r="M222" i="3"/>
  <c r="N222" i="3"/>
  <c r="O222" i="3"/>
  <c r="P222" i="3"/>
  <c r="Q222" i="3"/>
  <c r="R222" i="3"/>
  <c r="S222" i="3"/>
  <c r="T222" i="3"/>
  <c r="U222" i="3"/>
  <c r="V222" i="3"/>
  <c r="W222" i="3"/>
  <c r="X222" i="3"/>
  <c r="Y222" i="3"/>
  <c r="Z222" i="3"/>
  <c r="AA222" i="3"/>
  <c r="AB222" i="3"/>
  <c r="AC222" i="3"/>
  <c r="AD222" i="3"/>
  <c r="H228" i="3"/>
  <c r="I228" i="3"/>
  <c r="J228" i="3"/>
  <c r="K228" i="3"/>
  <c r="L228" i="3"/>
  <c r="M228" i="3"/>
  <c r="N228" i="3"/>
  <c r="O228" i="3"/>
  <c r="P228" i="3"/>
  <c r="Q228" i="3"/>
  <c r="R228" i="3"/>
  <c r="S228" i="3"/>
  <c r="T228" i="3"/>
  <c r="U228" i="3"/>
  <c r="V228" i="3"/>
  <c r="W228" i="3"/>
  <c r="X228" i="3"/>
  <c r="Y228" i="3"/>
  <c r="Z228" i="3"/>
  <c r="AA228" i="3"/>
  <c r="AB228" i="3"/>
  <c r="AC228" i="3"/>
  <c r="AD228" i="3"/>
  <c r="H229" i="3"/>
  <c r="I229" i="3"/>
  <c r="J229" i="3"/>
  <c r="K229" i="3"/>
  <c r="L229" i="3"/>
  <c r="M229" i="3"/>
  <c r="N229" i="3"/>
  <c r="O229" i="3"/>
  <c r="P229" i="3"/>
  <c r="Q229" i="3"/>
  <c r="R229" i="3"/>
  <c r="S229" i="3"/>
  <c r="T229" i="3"/>
  <c r="U229" i="3"/>
  <c r="V229" i="3"/>
  <c r="W229" i="3"/>
  <c r="X229" i="3"/>
  <c r="Y229" i="3"/>
  <c r="Z229" i="3"/>
  <c r="AA229" i="3"/>
  <c r="AB229" i="3"/>
  <c r="AC229" i="3"/>
  <c r="H235" i="3"/>
  <c r="I235" i="3"/>
  <c r="J235" i="3"/>
  <c r="K235" i="3"/>
  <c r="L235" i="3"/>
  <c r="M235" i="3"/>
  <c r="N235" i="3"/>
  <c r="O235" i="3"/>
  <c r="P235" i="3"/>
  <c r="Q235" i="3"/>
  <c r="R235" i="3"/>
  <c r="S235" i="3"/>
  <c r="T235" i="3"/>
  <c r="U235" i="3"/>
  <c r="V235" i="3"/>
  <c r="W235" i="3"/>
  <c r="X235" i="3"/>
  <c r="Y235" i="3"/>
  <c r="Z235" i="3"/>
  <c r="AA235" i="3"/>
  <c r="AB235" i="3"/>
  <c r="AC235" i="3"/>
  <c r="AD235" i="3"/>
  <c r="H236" i="3"/>
  <c r="I236" i="3"/>
  <c r="J236" i="3"/>
  <c r="K236" i="3"/>
  <c r="L236" i="3"/>
  <c r="M236" i="3"/>
  <c r="N236" i="3"/>
  <c r="O236" i="3"/>
  <c r="P236" i="3"/>
  <c r="Q236" i="3"/>
  <c r="R236" i="3"/>
  <c r="S236" i="3"/>
  <c r="T236" i="3"/>
  <c r="U236" i="3"/>
  <c r="V236" i="3"/>
  <c r="W236" i="3"/>
  <c r="X236" i="3"/>
  <c r="Y236" i="3"/>
  <c r="Z236" i="3"/>
  <c r="AA236" i="3"/>
  <c r="AB236" i="3"/>
  <c r="AC236" i="3"/>
  <c r="AD236" i="3"/>
  <c r="H242" i="3"/>
  <c r="I242" i="3"/>
  <c r="J242" i="3"/>
  <c r="K242" i="3"/>
  <c r="L242" i="3"/>
  <c r="M242" i="3"/>
  <c r="N242" i="3"/>
  <c r="O242" i="3"/>
  <c r="P242" i="3"/>
  <c r="Q242" i="3"/>
  <c r="R242" i="3"/>
  <c r="S242" i="3"/>
  <c r="T242" i="3"/>
  <c r="U242" i="3"/>
  <c r="V242" i="3"/>
  <c r="W242" i="3"/>
  <c r="X242" i="3"/>
  <c r="Y242" i="3"/>
  <c r="Z242" i="3"/>
  <c r="AA242" i="3"/>
  <c r="AB242" i="3"/>
  <c r="AC242" i="3"/>
  <c r="AD242" i="3"/>
  <c r="H243" i="3"/>
  <c r="I243" i="3"/>
  <c r="J243" i="3"/>
  <c r="K243" i="3"/>
  <c r="L243" i="3"/>
  <c r="M243" i="3"/>
  <c r="N243" i="3"/>
  <c r="O243" i="3"/>
  <c r="P243" i="3"/>
  <c r="Q243" i="3"/>
  <c r="R243" i="3"/>
  <c r="S243" i="3"/>
  <c r="T243" i="3"/>
  <c r="U243" i="3"/>
  <c r="V243" i="3"/>
  <c r="W243" i="3"/>
  <c r="X243" i="3"/>
  <c r="Y243" i="3"/>
  <c r="Z243" i="3"/>
  <c r="AA243" i="3"/>
  <c r="AB243" i="3"/>
  <c r="AC243" i="3"/>
  <c r="AD243" i="3"/>
  <c r="G243" i="3"/>
  <c r="G242" i="3"/>
  <c r="G236" i="3"/>
  <c r="G235" i="3"/>
  <c r="G229" i="3"/>
  <c r="G222" i="3"/>
  <c r="AC45" i="1" a="1"/>
  <c r="AC45" i="1" s="1"/>
  <c r="AD186" i="3" s="1"/>
  <c r="F45" i="1" a="1"/>
  <c r="F45" i="1" s="1"/>
  <c r="G186" i="3" s="1"/>
  <c r="G187" i="3" s="1"/>
  <c r="G220" i="3" s="1"/>
  <c r="G223" i="3" s="1"/>
  <c r="G248" i="3" s="1"/>
  <c r="B49" i="1"/>
  <c r="B48" i="1"/>
  <c r="B47" i="1"/>
  <c r="AB45" i="1" a="1"/>
  <c r="AB45" i="1" s="1"/>
  <c r="AC186" i="3" s="1"/>
  <c r="AA45" i="1" a="1"/>
  <c r="AA45" i="1" s="1"/>
  <c r="AB186" i="3" s="1"/>
  <c r="Z45" i="1" a="1"/>
  <c r="Z45" i="1" s="1"/>
  <c r="AA186" i="3" s="1"/>
  <c r="Y45" i="1" a="1"/>
  <c r="Y45" i="1" s="1"/>
  <c r="Z186" i="3" s="1"/>
  <c r="X45" i="1" a="1"/>
  <c r="X45" i="1" s="1"/>
  <c r="Y186" i="3" s="1"/>
  <c r="W45" i="1" a="1"/>
  <c r="W45" i="1" s="1"/>
  <c r="X186" i="3" s="1"/>
  <c r="V45" i="1" a="1"/>
  <c r="V45" i="1" s="1"/>
  <c r="W186" i="3" s="1"/>
  <c r="U45" i="1" a="1"/>
  <c r="U45" i="1" s="1"/>
  <c r="V186" i="3" s="1"/>
  <c r="T45" i="1" a="1"/>
  <c r="T45" i="1" s="1"/>
  <c r="U186" i="3" s="1"/>
  <c r="S45" i="1" a="1"/>
  <c r="S45" i="1" s="1"/>
  <c r="T186" i="3" s="1"/>
  <c r="R45" i="1" a="1"/>
  <c r="R45" i="1" s="1"/>
  <c r="S186" i="3" s="1"/>
  <c r="Q45" i="1" a="1"/>
  <c r="Q45" i="1" s="1"/>
  <c r="R186" i="3" s="1"/>
  <c r="P45" i="1" a="1"/>
  <c r="P45" i="1" s="1"/>
  <c r="Q186" i="3" s="1"/>
  <c r="O45" i="1" a="1"/>
  <c r="O45" i="1" s="1"/>
  <c r="P186" i="3" s="1"/>
  <c r="N45" i="1" a="1"/>
  <c r="N45" i="1" s="1"/>
  <c r="O186" i="3" s="1"/>
  <c r="M45" i="1" a="1"/>
  <c r="M45" i="1" s="1"/>
  <c r="N186" i="3" s="1"/>
  <c r="L45" i="1" a="1"/>
  <c r="L45" i="1" s="1"/>
  <c r="M186" i="3" s="1"/>
  <c r="K45" i="1" a="1"/>
  <c r="K45" i="1" s="1"/>
  <c r="L186" i="3" s="1"/>
  <c r="J45" i="1" a="1"/>
  <c r="J45" i="1" s="1"/>
  <c r="K186" i="3" s="1"/>
  <c r="I45" i="1" a="1"/>
  <c r="I45" i="1" s="1"/>
  <c r="J186" i="3" s="1"/>
  <c r="H45" i="1" a="1"/>
  <c r="H45" i="1" s="1"/>
  <c r="I186" i="3" s="1"/>
  <c r="G45" i="1" a="1"/>
  <c r="G45" i="1" s="1"/>
  <c r="H186" i="3" s="1"/>
  <c r="G233" i="3"/>
  <c r="AF75" i="11"/>
  <c r="AF86" i="11" s="1"/>
  <c r="K39" i="1" a="1"/>
  <c r="K39" i="1" s="1"/>
  <c r="L181" i="3" s="1"/>
  <c r="O97" i="1" a="1"/>
  <c r="O97" i="1" s="1"/>
  <c r="H185" i="3" l="1"/>
  <c r="H187" i="3" s="1"/>
  <c r="I185" i="3" s="1"/>
  <c r="I187" i="3" s="1"/>
  <c r="J185" i="3" s="1"/>
  <c r="J187" i="3" s="1"/>
  <c r="K185" i="3" s="1"/>
  <c r="K187" i="3" s="1"/>
  <c r="L185" i="3" s="1"/>
  <c r="L187" i="3" s="1"/>
  <c r="M185" i="3" s="1"/>
  <c r="M187" i="3" s="1"/>
  <c r="N185" i="3" s="1"/>
  <c r="N187" i="3" s="1"/>
  <c r="O185" i="3" s="1"/>
  <c r="O187" i="3" s="1"/>
  <c r="P185" i="3" s="1"/>
  <c r="P187" i="3" s="1"/>
  <c r="Q185" i="3" s="1"/>
  <c r="Q187" i="3" s="1"/>
  <c r="R185" i="3" s="1"/>
  <c r="R187" i="3" s="1"/>
  <c r="S185" i="3" s="1"/>
  <c r="S187" i="3" s="1"/>
  <c r="T185" i="3" s="1"/>
  <c r="T187" i="3" s="1"/>
  <c r="U185" i="3" s="1"/>
  <c r="U187" i="3" s="1"/>
  <c r="V185" i="3" s="1"/>
  <c r="V187" i="3" s="1"/>
  <c r="W185" i="3" s="1"/>
  <c r="W187" i="3" s="1"/>
  <c r="X185" i="3" s="1"/>
  <c r="X187" i="3" s="1"/>
  <c r="Y185" i="3" s="1"/>
  <c r="Y187" i="3" s="1"/>
  <c r="Z185" i="3" s="1"/>
  <c r="Z187" i="3" s="1"/>
  <c r="AA185" i="3" s="1"/>
  <c r="AA187" i="3" s="1"/>
  <c r="AB185" i="3" s="1"/>
  <c r="AB187" i="3" s="1"/>
  <c r="AC185" i="3" s="1"/>
  <c r="AC187" i="3" s="1"/>
  <c r="AD185" i="3" s="1"/>
  <c r="AD187" i="3" s="1"/>
  <c r="B173" i="3" a="1"/>
  <c r="B173" i="3" s="1"/>
  <c r="B125" i="3" a="1"/>
  <c r="B125" i="3" s="1"/>
  <c r="M219" i="3" l="1"/>
  <c r="I219" i="3"/>
  <c r="J219" i="3"/>
  <c r="J220" i="3"/>
  <c r="J223" i="3" s="1"/>
  <c r="J248" i="3" s="1"/>
  <c r="V219" i="3"/>
  <c r="K220" i="3"/>
  <c r="K223" i="3" s="1"/>
  <c r="K248" i="3" s="1"/>
  <c r="H219" i="3"/>
  <c r="I220" i="3"/>
  <c r="I223" i="3" s="1"/>
  <c r="I248" i="3" s="1"/>
  <c r="N220" i="3"/>
  <c r="N223" i="3" s="1"/>
  <c r="N248" i="3" s="1"/>
  <c r="P220" i="3"/>
  <c r="P223" i="3" s="1"/>
  <c r="P248" i="3" s="1"/>
  <c r="H220" i="3"/>
  <c r="H223" i="3" s="1"/>
  <c r="H248" i="3" s="1"/>
  <c r="R219" i="3"/>
  <c r="O219" i="3"/>
  <c r="L219" i="3"/>
  <c r="M220" i="3"/>
  <c r="M223" i="3" s="1"/>
  <c r="M248" i="3" s="1"/>
  <c r="W220" i="3"/>
  <c r="W223" i="3" s="1"/>
  <c r="W248" i="3" s="1"/>
  <c r="S219" i="3"/>
  <c r="T220" i="3"/>
  <c r="T223" i="3" s="1"/>
  <c r="T248" i="3" s="1"/>
  <c r="N219" i="3"/>
  <c r="Y220" i="3"/>
  <c r="Y223" i="3" s="1"/>
  <c r="Y248" i="3" s="1"/>
  <c r="AA220" i="3"/>
  <c r="AA223" i="3" s="1"/>
  <c r="AA248" i="3" s="1"/>
  <c r="P219" i="3"/>
  <c r="Q220" i="3"/>
  <c r="Q223" i="3" s="1"/>
  <c r="Q248" i="3" s="1"/>
  <c r="AB219" i="3"/>
  <c r="K219" i="3"/>
  <c r="Q219" i="3"/>
  <c r="W219" i="3"/>
  <c r="L220" i="3"/>
  <c r="L223" i="3" s="1"/>
  <c r="L248" i="3" s="1"/>
  <c r="X220" i="3"/>
  <c r="X223" i="3" s="1"/>
  <c r="X248" i="3" s="1"/>
  <c r="AC219" i="3"/>
  <c r="Z220" i="3"/>
  <c r="Z223" i="3" s="1"/>
  <c r="Z248" i="3" s="1"/>
  <c r="R220" i="3"/>
  <c r="R223" i="3" s="1"/>
  <c r="R248" i="3" s="1"/>
  <c r="U219" i="3"/>
  <c r="AA219" i="3"/>
  <c r="AD220" i="3"/>
  <c r="AD223" i="3" s="1"/>
  <c r="AD248" i="3" s="1"/>
  <c r="V220" i="3"/>
  <c r="V223" i="3" s="1"/>
  <c r="V248" i="3" s="1"/>
  <c r="Z219" i="3"/>
  <c r="S220" i="3"/>
  <c r="S223" i="3" s="1"/>
  <c r="S248" i="3" s="1"/>
  <c r="U220" i="3"/>
  <c r="U223" i="3" s="1"/>
  <c r="U248" i="3" s="1"/>
  <c r="Y219" i="3"/>
  <c r="O220" i="3"/>
  <c r="O223" i="3" s="1"/>
  <c r="O248" i="3" s="1"/>
  <c r="AC220" i="3"/>
  <c r="AC223" i="3" s="1"/>
  <c r="AC248" i="3" s="1"/>
  <c r="AD219" i="3"/>
  <c r="AB220" i="3"/>
  <c r="AB223" i="3" s="1"/>
  <c r="AB248" i="3" s="1"/>
  <c r="T219" i="3"/>
  <c r="X219" i="3"/>
  <c r="R39" i="1" l="1" a="1"/>
  <c r="R39" i="1" s="1"/>
  <c r="S181" i="3" s="1"/>
  <c r="AC97" i="1" a="1"/>
  <c r="AC97" i="1" s="1"/>
  <c r="AB97" i="1" a="1"/>
  <c r="AB97" i="1" s="1"/>
  <c r="AA97" i="1" a="1"/>
  <c r="AA97" i="1" s="1"/>
  <c r="Z97" i="1" a="1"/>
  <c r="Z97" i="1" s="1"/>
  <c r="Y97" i="1" a="1"/>
  <c r="Y97" i="1" s="1"/>
  <c r="X97" i="1" a="1"/>
  <c r="X97" i="1" s="1"/>
  <c r="W97" i="1" a="1"/>
  <c r="W97" i="1" s="1"/>
  <c r="V97" i="1" a="1"/>
  <c r="V97" i="1" s="1"/>
  <c r="U97" i="1" a="1"/>
  <c r="U97" i="1" s="1"/>
  <c r="T97" i="1" a="1"/>
  <c r="T97" i="1" s="1"/>
  <c r="S97" i="1" a="1"/>
  <c r="S97" i="1" s="1"/>
  <c r="R97" i="1" a="1"/>
  <c r="R97" i="1" s="1"/>
  <c r="Q97" i="1" a="1"/>
  <c r="Q97" i="1" s="1"/>
  <c r="P97" i="1" a="1"/>
  <c r="P97" i="1" s="1"/>
  <c r="N97" i="1" a="1"/>
  <c r="N97" i="1" s="1"/>
  <c r="M97" i="1" a="1"/>
  <c r="M97" i="1" s="1"/>
  <c r="L97" i="1" a="1"/>
  <c r="L97" i="1" s="1"/>
  <c r="K97" i="1" a="1"/>
  <c r="K97" i="1" s="1"/>
  <c r="J97" i="1" a="1"/>
  <c r="J97" i="1" s="1"/>
  <c r="I97" i="1" a="1"/>
  <c r="I97" i="1" s="1"/>
  <c r="H97" i="1" a="1"/>
  <c r="H97" i="1" s="1"/>
  <c r="G97" i="1" a="1"/>
  <c r="G97" i="1" s="1"/>
  <c r="F63" i="1" a="1"/>
  <c r="F63" i="1" s="1"/>
  <c r="G201" i="3" s="1"/>
  <c r="AC63" i="1" a="1"/>
  <c r="AC63" i="1" s="1"/>
  <c r="AD201" i="3" s="1"/>
  <c r="AB63" i="1" a="1"/>
  <c r="AB63" i="1" s="1"/>
  <c r="AC201" i="3" s="1"/>
  <c r="AA63" i="1" a="1"/>
  <c r="AA63" i="1" s="1"/>
  <c r="AB201" i="3" s="1"/>
  <c r="Z63" i="1" a="1"/>
  <c r="Z63" i="1" s="1"/>
  <c r="AA201" i="3" s="1"/>
  <c r="Y63" i="1" a="1"/>
  <c r="Y63" i="1" s="1"/>
  <c r="Z201" i="3" s="1"/>
  <c r="X63" i="1" a="1"/>
  <c r="X63" i="1" s="1"/>
  <c r="Y201" i="3" s="1"/>
  <c r="W63" i="1" a="1"/>
  <c r="W63" i="1" s="1"/>
  <c r="X201" i="3" s="1"/>
  <c r="V63" i="1" a="1"/>
  <c r="V63" i="1" s="1"/>
  <c r="W201" i="3" s="1"/>
  <c r="U63" i="1" a="1"/>
  <c r="U63" i="1" s="1"/>
  <c r="V201" i="3" s="1"/>
  <c r="T63" i="1" a="1"/>
  <c r="T63" i="1" s="1"/>
  <c r="U201" i="3" s="1"/>
  <c r="S63" i="1" a="1"/>
  <c r="S63" i="1" s="1"/>
  <c r="T201" i="3" s="1"/>
  <c r="R63" i="1" a="1"/>
  <c r="R63" i="1" s="1"/>
  <c r="S201" i="3" s="1"/>
  <c r="Q63" i="1" a="1"/>
  <c r="Q63" i="1" s="1"/>
  <c r="R201" i="3" s="1"/>
  <c r="P63" i="1" a="1"/>
  <c r="P63" i="1" s="1"/>
  <c r="Q201" i="3" s="1"/>
  <c r="O63" i="1" a="1"/>
  <c r="O63" i="1" s="1"/>
  <c r="P201" i="3" s="1"/>
  <c r="N63" i="1" a="1"/>
  <c r="N63" i="1" s="1"/>
  <c r="O201" i="3" s="1"/>
  <c r="M63" i="1" a="1"/>
  <c r="M63" i="1" s="1"/>
  <c r="N201" i="3" s="1"/>
  <c r="L63" i="1" a="1"/>
  <c r="L63" i="1" s="1"/>
  <c r="M201" i="3" s="1"/>
  <c r="K63" i="1" a="1"/>
  <c r="K63" i="1" s="1"/>
  <c r="L201" i="3" s="1"/>
  <c r="J63" i="1" a="1"/>
  <c r="J63" i="1" s="1"/>
  <c r="K201" i="3" s="1"/>
  <c r="I63" i="1" a="1"/>
  <c r="I63" i="1" s="1"/>
  <c r="J201" i="3" s="1"/>
  <c r="H63" i="1" a="1"/>
  <c r="H63" i="1" s="1"/>
  <c r="I201" i="3" s="1"/>
  <c r="G63" i="1" a="1"/>
  <c r="G63" i="1" s="1"/>
  <c r="H201" i="3" s="1"/>
  <c r="F57" i="1" a="1"/>
  <c r="F57" i="1" s="1"/>
  <c r="G196" i="3" s="1"/>
  <c r="G197" i="3" s="1"/>
  <c r="G234" i="3" s="1"/>
  <c r="G237" i="3" s="1"/>
  <c r="G250" i="3" s="1"/>
  <c r="AC57" i="1" a="1"/>
  <c r="AC57" i="1" s="1"/>
  <c r="AD196" i="3" s="1"/>
  <c r="AB57" i="1" a="1"/>
  <c r="AB57" i="1" s="1"/>
  <c r="AC196" i="3" s="1"/>
  <c r="AA57" i="1" a="1"/>
  <c r="AA57" i="1" s="1"/>
  <c r="AB196" i="3" s="1"/>
  <c r="Z57" i="1" a="1"/>
  <c r="Z57" i="1" s="1"/>
  <c r="AA196" i="3" s="1"/>
  <c r="Y57" i="1" a="1"/>
  <c r="Y57" i="1" s="1"/>
  <c r="Z196" i="3" s="1"/>
  <c r="X57" i="1" a="1"/>
  <c r="X57" i="1" s="1"/>
  <c r="Y196" i="3" s="1"/>
  <c r="W57" i="1" a="1"/>
  <c r="W57" i="1" s="1"/>
  <c r="X196" i="3" s="1"/>
  <c r="V57" i="1" a="1"/>
  <c r="V57" i="1" s="1"/>
  <c r="W196" i="3" s="1"/>
  <c r="U57" i="1" a="1"/>
  <c r="U57" i="1" s="1"/>
  <c r="V196" i="3" s="1"/>
  <c r="T57" i="1" a="1"/>
  <c r="T57" i="1" s="1"/>
  <c r="U196" i="3" s="1"/>
  <c r="S57" i="1" a="1"/>
  <c r="S57" i="1" s="1"/>
  <c r="T196" i="3" s="1"/>
  <c r="R57" i="1" a="1"/>
  <c r="R57" i="1" s="1"/>
  <c r="S196" i="3" s="1"/>
  <c r="Q57" i="1" a="1"/>
  <c r="Q57" i="1" s="1"/>
  <c r="R196" i="3" s="1"/>
  <c r="P57" i="1" a="1"/>
  <c r="P57" i="1" s="1"/>
  <c r="Q196" i="3" s="1"/>
  <c r="O57" i="1" a="1"/>
  <c r="O57" i="1" s="1"/>
  <c r="P196" i="3" s="1"/>
  <c r="N57" i="1" a="1"/>
  <c r="N57" i="1" s="1"/>
  <c r="O196" i="3" s="1"/>
  <c r="M57" i="1" a="1"/>
  <c r="M57" i="1" s="1"/>
  <c r="N196" i="3" s="1"/>
  <c r="L57" i="1" a="1"/>
  <c r="L57" i="1" s="1"/>
  <c r="M196" i="3" s="1"/>
  <c r="K57" i="1" a="1"/>
  <c r="K57" i="1" s="1"/>
  <c r="L196" i="3" s="1"/>
  <c r="J57" i="1" a="1"/>
  <c r="J57" i="1" s="1"/>
  <c r="K196" i="3" s="1"/>
  <c r="I57" i="1" a="1"/>
  <c r="I57" i="1" s="1"/>
  <c r="J196" i="3" s="1"/>
  <c r="H57" i="1" a="1"/>
  <c r="H57" i="1" s="1"/>
  <c r="I196" i="3" s="1"/>
  <c r="G57" i="1" a="1"/>
  <c r="G57" i="1" s="1"/>
  <c r="H196" i="3" s="1"/>
  <c r="AC51" i="1" a="1"/>
  <c r="AC51" i="1" s="1"/>
  <c r="AD191" i="3" s="1"/>
  <c r="AB51" i="1" a="1"/>
  <c r="AB51" i="1" s="1"/>
  <c r="AC191" i="3" s="1"/>
  <c r="AA51" i="1" a="1"/>
  <c r="AA51" i="1" s="1"/>
  <c r="AB191" i="3" s="1"/>
  <c r="Z51" i="1" a="1"/>
  <c r="Z51" i="1" s="1"/>
  <c r="AA191" i="3" s="1"/>
  <c r="Y51" i="1" a="1"/>
  <c r="Y51" i="1" s="1"/>
  <c r="Z191" i="3" s="1"/>
  <c r="X51" i="1" a="1"/>
  <c r="X51" i="1" s="1"/>
  <c r="Y191" i="3" s="1"/>
  <c r="W51" i="1" a="1"/>
  <c r="W51" i="1" s="1"/>
  <c r="X191" i="3" s="1"/>
  <c r="V51" i="1" a="1"/>
  <c r="V51" i="1" s="1"/>
  <c r="W191" i="3" s="1"/>
  <c r="U51" i="1" a="1"/>
  <c r="U51" i="1" s="1"/>
  <c r="V191" i="3" s="1"/>
  <c r="T51" i="1" a="1"/>
  <c r="T51" i="1" s="1"/>
  <c r="U191" i="3" s="1"/>
  <c r="S51" i="1" a="1"/>
  <c r="S51" i="1" s="1"/>
  <c r="T191" i="3" s="1"/>
  <c r="R51" i="1" a="1"/>
  <c r="R51" i="1" s="1"/>
  <c r="S191" i="3" s="1"/>
  <c r="Q51" i="1" a="1"/>
  <c r="Q51" i="1" s="1"/>
  <c r="R191" i="3" s="1"/>
  <c r="P51" i="1" a="1"/>
  <c r="P51" i="1" s="1"/>
  <c r="Q191" i="3" s="1"/>
  <c r="O51" i="1" a="1"/>
  <c r="O51" i="1" s="1"/>
  <c r="P191" i="3" s="1"/>
  <c r="N51" i="1" a="1"/>
  <c r="N51" i="1" s="1"/>
  <c r="O191" i="3" s="1"/>
  <c r="M51" i="1" a="1"/>
  <c r="M51" i="1" s="1"/>
  <c r="N191" i="3" s="1"/>
  <c r="L51" i="1" a="1"/>
  <c r="L51" i="1" s="1"/>
  <c r="M191" i="3" s="1"/>
  <c r="K51" i="1" a="1"/>
  <c r="K51" i="1" s="1"/>
  <c r="L191" i="3" s="1"/>
  <c r="J51" i="1" a="1"/>
  <c r="J51" i="1" s="1"/>
  <c r="K191" i="3" s="1"/>
  <c r="I51" i="1" a="1"/>
  <c r="I51" i="1" s="1"/>
  <c r="J191" i="3" s="1"/>
  <c r="H51" i="1" a="1"/>
  <c r="H51" i="1" s="1"/>
  <c r="I191" i="3" s="1"/>
  <c r="G51" i="1" a="1"/>
  <c r="G51" i="1" s="1"/>
  <c r="H191" i="3" s="1"/>
  <c r="F51" i="1" a="1"/>
  <c r="F51" i="1" s="1"/>
  <c r="G191" i="3" s="1"/>
  <c r="G192" i="3" s="1"/>
  <c r="G227" i="3" s="1"/>
  <c r="G230" i="3" s="1"/>
  <c r="G249" i="3" s="1"/>
  <c r="G279" i="3" s="1"/>
  <c r="AC39" i="1" a="1"/>
  <c r="AC39" i="1" s="1"/>
  <c r="AD181" i="3" s="1"/>
  <c r="AB39" i="1" a="1"/>
  <c r="AB39" i="1" s="1"/>
  <c r="AC181" i="3" s="1"/>
  <c r="AA39" i="1" a="1"/>
  <c r="AA39" i="1" s="1"/>
  <c r="AB181" i="3" s="1"/>
  <c r="Z39" i="1" a="1"/>
  <c r="Z39" i="1" s="1"/>
  <c r="AA181" i="3" s="1"/>
  <c r="Y39" i="1" a="1"/>
  <c r="Y39" i="1" s="1"/>
  <c r="Z181" i="3" s="1"/>
  <c r="X39" i="1" a="1"/>
  <c r="X39" i="1" s="1"/>
  <c r="Y181" i="3" s="1"/>
  <c r="W39" i="1" a="1"/>
  <c r="W39" i="1" s="1"/>
  <c r="X181" i="3" s="1"/>
  <c r="V39" i="1" a="1"/>
  <c r="V39" i="1" s="1"/>
  <c r="W181" i="3" s="1"/>
  <c r="U39" i="1" a="1"/>
  <c r="U39" i="1" s="1"/>
  <c r="V181" i="3" s="1"/>
  <c r="T39" i="1" a="1"/>
  <c r="T39" i="1" s="1"/>
  <c r="U181" i="3" s="1"/>
  <c r="S39" i="1" a="1"/>
  <c r="S39" i="1" s="1"/>
  <c r="T181" i="3" s="1"/>
  <c r="Q39" i="1" a="1"/>
  <c r="Q39" i="1" s="1"/>
  <c r="R181" i="3" s="1"/>
  <c r="P39" i="1" a="1"/>
  <c r="P39" i="1" s="1"/>
  <c r="Q181" i="3" s="1"/>
  <c r="O39" i="1" a="1"/>
  <c r="O39" i="1" s="1"/>
  <c r="P181" i="3" s="1"/>
  <c r="N39" i="1" a="1"/>
  <c r="N39" i="1" s="1"/>
  <c r="O181" i="3" s="1"/>
  <c r="M39" i="1" a="1"/>
  <c r="M39" i="1" s="1"/>
  <c r="N181" i="3" s="1"/>
  <c r="L39" i="1" a="1"/>
  <c r="L39" i="1" s="1"/>
  <c r="M181" i="3" s="1"/>
  <c r="J39" i="1" a="1"/>
  <c r="J39" i="1" s="1"/>
  <c r="K181" i="3" s="1"/>
  <c r="I39" i="1" a="1"/>
  <c r="I39" i="1" s="1"/>
  <c r="J181" i="3" s="1"/>
  <c r="H39" i="1" a="1"/>
  <c r="H39" i="1" s="1"/>
  <c r="I181" i="3" s="1"/>
  <c r="G39" i="1" a="1"/>
  <c r="G39" i="1" s="1"/>
  <c r="H181" i="3" s="1"/>
  <c r="F39" i="1" a="1"/>
  <c r="F39" i="1" s="1"/>
  <c r="G181" i="3" s="1"/>
  <c r="G182" i="3" s="1"/>
  <c r="G213" i="3" s="1"/>
  <c r="G216" i="3" s="1"/>
  <c r="BC73" i="11"/>
  <c r="BB73" i="11"/>
  <c r="BA73" i="11"/>
  <c r="AZ73" i="11"/>
  <c r="AY73" i="11"/>
  <c r="AX73" i="11"/>
  <c r="AW73" i="11"/>
  <c r="AV73" i="11"/>
  <c r="AU73" i="11"/>
  <c r="AT73" i="11"/>
  <c r="AS73" i="11"/>
  <c r="AR73" i="11"/>
  <c r="AQ73" i="11"/>
  <c r="AP73" i="11"/>
  <c r="AO73" i="11"/>
  <c r="AN73" i="11"/>
  <c r="AM73" i="11"/>
  <c r="AL73" i="11"/>
  <c r="AK73" i="11"/>
  <c r="AJ73" i="11"/>
  <c r="AI73" i="11"/>
  <c r="AH73" i="11"/>
  <c r="AG73" i="11"/>
  <c r="G142" i="3"/>
  <c r="G143" i="3" s="1"/>
  <c r="G508" i="3" s="1"/>
  <c r="G131" i="3"/>
  <c r="H130" i="3"/>
  <c r="I130" i="3" s="1"/>
  <c r="J130" i="3" s="1"/>
  <c r="K130" i="3" s="1"/>
  <c r="L130" i="3" s="1"/>
  <c r="M130" i="3" s="1"/>
  <c r="B101" i="1"/>
  <c r="B100" i="1"/>
  <c r="B99" i="1"/>
  <c r="B95" i="1"/>
  <c r="B94" i="1"/>
  <c r="B93" i="1"/>
  <c r="B67" i="1"/>
  <c r="B66" i="1"/>
  <c r="B65" i="1"/>
  <c r="B61" i="1"/>
  <c r="B60" i="1"/>
  <c r="B59" i="1"/>
  <c r="B55" i="1"/>
  <c r="B54" i="1"/>
  <c r="B53" i="1"/>
  <c r="B43" i="1"/>
  <c r="B42" i="1"/>
  <c r="B41" i="1"/>
  <c r="B35" i="1"/>
  <c r="B34" i="1"/>
  <c r="B33" i="1"/>
  <c r="B27" i="1"/>
  <c r="B29" i="1"/>
  <c r="B28" i="1"/>
  <c r="B23" i="1"/>
  <c r="B22" i="1"/>
  <c r="B21" i="1"/>
  <c r="G206" i="3" l="1"/>
  <c r="G207" i="3" s="1"/>
  <c r="G202" i="3"/>
  <c r="G241" i="3" s="1"/>
  <c r="G244" i="3" s="1"/>
  <c r="G137" i="3"/>
  <c r="AF77" i="11" s="1"/>
  <c r="AF73" i="11"/>
  <c r="G247" i="3"/>
  <c r="N130" i="3"/>
  <c r="O130" i="3" s="1"/>
  <c r="P130" i="3" s="1"/>
  <c r="Q130" i="3" s="1"/>
  <c r="R130" i="3" s="1"/>
  <c r="S130" i="3" s="1"/>
  <c r="T130" i="3" s="1"/>
  <c r="U130" i="3" s="1"/>
  <c r="V130" i="3" s="1"/>
  <c r="W130" i="3" s="1"/>
  <c r="X130" i="3" s="1"/>
  <c r="Y130" i="3" s="1"/>
  <c r="Z130" i="3" s="1"/>
  <c r="AA130" i="3" s="1"/>
  <c r="AB130" i="3" s="1"/>
  <c r="AC130" i="3" s="1"/>
  <c r="AD130" i="3" s="1"/>
  <c r="G136" i="3"/>
  <c r="G132" i="3"/>
  <c r="H129" i="3" s="1"/>
  <c r="N206" i="3"/>
  <c r="N256" i="3" s="1"/>
  <c r="Z206" i="3"/>
  <c r="Z256" i="3" s="1"/>
  <c r="O206" i="3"/>
  <c r="O256" i="3" s="1"/>
  <c r="AA206" i="3"/>
  <c r="AA256" i="3" s="1"/>
  <c r="P206" i="3"/>
  <c r="P256" i="3" s="1"/>
  <c r="AB206" i="3"/>
  <c r="AB256" i="3" s="1"/>
  <c r="Q206" i="3"/>
  <c r="Q256" i="3" s="1"/>
  <c r="AC206" i="3"/>
  <c r="AC256" i="3" s="1"/>
  <c r="R206" i="3"/>
  <c r="R256" i="3" s="1"/>
  <c r="AD206" i="3"/>
  <c r="AD256" i="3" s="1"/>
  <c r="H195" i="3"/>
  <c r="S206" i="3"/>
  <c r="S256" i="3" s="1"/>
  <c r="H200" i="3"/>
  <c r="H190" i="3"/>
  <c r="G12" i="3"/>
  <c r="AF135" i="11" s="1"/>
  <c r="H206" i="3"/>
  <c r="H256" i="3" s="1"/>
  <c r="T206" i="3"/>
  <c r="T256" i="3" s="1"/>
  <c r="I206" i="3"/>
  <c r="I256" i="3" s="1"/>
  <c r="U206" i="3"/>
  <c r="U256" i="3" s="1"/>
  <c r="J206" i="3"/>
  <c r="J256" i="3" s="1"/>
  <c r="V206" i="3"/>
  <c r="V256" i="3" s="1"/>
  <c r="K206" i="3"/>
  <c r="K256" i="3" s="1"/>
  <c r="W206" i="3"/>
  <c r="W256" i="3" s="1"/>
  <c r="L206" i="3"/>
  <c r="L256" i="3" s="1"/>
  <c r="X206" i="3"/>
  <c r="X256" i="3" s="1"/>
  <c r="M206" i="3"/>
  <c r="M256" i="3" s="1"/>
  <c r="Y206" i="3"/>
  <c r="Y256" i="3" s="1"/>
  <c r="AF74" i="11"/>
  <c r="F7" i="1"/>
  <c r="G5" i="3" s="1"/>
  <c r="G500" i="3" s="1"/>
  <c r="F8" i="1"/>
  <c r="G6" i="3" s="1"/>
  <c r="G501" i="3" s="1"/>
  <c r="G151" i="3" l="1"/>
  <c r="G506" i="3"/>
  <c r="G510" i="3"/>
  <c r="G152" i="3"/>
  <c r="AF22" i="11" s="1"/>
  <c r="G251" i="3"/>
  <c r="G138" i="3"/>
  <c r="G154" i="3" s="1"/>
  <c r="G146" i="3"/>
  <c r="AF79" i="11" s="1"/>
  <c r="G159" i="3"/>
  <c r="AF76" i="11"/>
  <c r="G252" i="3"/>
  <c r="G263" i="3" s="1"/>
  <c r="G160" i="3"/>
  <c r="G264" i="3"/>
  <c r="H205" i="3"/>
  <c r="G255" i="3"/>
  <c r="G270" i="3"/>
  <c r="G470" i="3"/>
  <c r="G429" i="3"/>
  <c r="G398" i="3"/>
  <c r="G364" i="3"/>
  <c r="G271" i="3"/>
  <c r="G430" i="3"/>
  <c r="G399" i="3"/>
  <c r="G365" i="3"/>
  <c r="G471" i="3"/>
  <c r="G20" i="3"/>
  <c r="G172" i="3"/>
  <c r="G44" i="3"/>
  <c r="G124" i="3"/>
  <c r="G313" i="3"/>
  <c r="G84" i="3"/>
  <c r="G287" i="3"/>
  <c r="G314" i="3"/>
  <c r="G288" i="3"/>
  <c r="G173" i="3"/>
  <c r="G125" i="3"/>
  <c r="G85" i="3"/>
  <c r="G45" i="3"/>
  <c r="H141" i="3"/>
  <c r="H142" i="3" s="1"/>
  <c r="H143" i="3" s="1"/>
  <c r="H192" i="3"/>
  <c r="I190" i="3" s="1"/>
  <c r="H226" i="3"/>
  <c r="H197" i="3"/>
  <c r="I195" i="3" s="1"/>
  <c r="H233" i="3"/>
  <c r="H202" i="3"/>
  <c r="I200" i="3" s="1"/>
  <c r="H240" i="3"/>
  <c r="G256" i="3"/>
  <c r="H180" i="3"/>
  <c r="H131" i="3"/>
  <c r="H9" i="1"/>
  <c r="I7" i="3" s="1"/>
  <c r="I502" i="3" s="1"/>
  <c r="G7" i="1"/>
  <c r="H5" i="3" s="1"/>
  <c r="H500" i="3" s="1"/>
  <c r="G8" i="1"/>
  <c r="H6" i="3" s="1"/>
  <c r="H501" i="3" s="1"/>
  <c r="AG74" i="11" l="1"/>
  <c r="H508" i="3"/>
  <c r="G153" i="3"/>
  <c r="G155" i="3" s="1"/>
  <c r="G257" i="3"/>
  <c r="G161" i="3"/>
  <c r="G295" i="3"/>
  <c r="G383" i="3"/>
  <c r="G389" i="3" s="1"/>
  <c r="H135" i="3"/>
  <c r="G162" i="3"/>
  <c r="G148" i="3"/>
  <c r="AF80" i="11" s="1"/>
  <c r="G147" i="3"/>
  <c r="AF78" i="11"/>
  <c r="AF144" i="11"/>
  <c r="AF138" i="11"/>
  <c r="AF21" i="11"/>
  <c r="I141" i="3"/>
  <c r="I142" i="3" s="1"/>
  <c r="I143" i="3" s="1"/>
  <c r="H271" i="3"/>
  <c r="H399" i="3"/>
  <c r="H365" i="3"/>
  <c r="H471" i="3"/>
  <c r="H430" i="3"/>
  <c r="I272" i="3"/>
  <c r="I366" i="3"/>
  <c r="I431" i="3"/>
  <c r="I400" i="3"/>
  <c r="I472" i="3"/>
  <c r="H270" i="3"/>
  <c r="H429" i="3"/>
  <c r="H398" i="3"/>
  <c r="H364" i="3"/>
  <c r="H470" i="3"/>
  <c r="H314" i="3"/>
  <c r="H45" i="3"/>
  <c r="H288" i="3"/>
  <c r="H125" i="3"/>
  <c r="H173" i="3"/>
  <c r="H85" i="3"/>
  <c r="H287" i="3"/>
  <c r="H313" i="3"/>
  <c r="H172" i="3"/>
  <c r="H84" i="3"/>
  <c r="H44" i="3"/>
  <c r="H124" i="3"/>
  <c r="I126" i="3"/>
  <c r="I86" i="3"/>
  <c r="I315" i="3"/>
  <c r="I289" i="3"/>
  <c r="I174" i="3"/>
  <c r="I46" i="3"/>
  <c r="H241" i="3"/>
  <c r="H244" i="3" s="1"/>
  <c r="H251" i="3" s="1"/>
  <c r="H227" i="3"/>
  <c r="H230" i="3" s="1"/>
  <c r="H249" i="3" s="1"/>
  <c r="I202" i="3"/>
  <c r="J200" i="3" s="1"/>
  <c r="I240" i="3"/>
  <c r="I197" i="3"/>
  <c r="J195" i="3" s="1"/>
  <c r="I233" i="3"/>
  <c r="H234" i="3"/>
  <c r="H237" i="3" s="1"/>
  <c r="H250" i="3" s="1"/>
  <c r="H20" i="3" s="1"/>
  <c r="AG138" i="11" s="1"/>
  <c r="I192" i="3"/>
  <c r="J190" i="3" s="1"/>
  <c r="I226" i="3"/>
  <c r="H182" i="3"/>
  <c r="H213" i="3" s="1"/>
  <c r="H216" i="3" s="1"/>
  <c r="H212" i="3"/>
  <c r="H132" i="3"/>
  <c r="I129" i="3" s="1"/>
  <c r="H7" i="1"/>
  <c r="I5" i="3" s="1"/>
  <c r="I500" i="3" s="1"/>
  <c r="H8" i="1"/>
  <c r="I6" i="3" s="1"/>
  <c r="I501" i="3" s="1"/>
  <c r="I9" i="1"/>
  <c r="J7" i="3" s="1"/>
  <c r="J502" i="3" s="1"/>
  <c r="AH74" i="11" l="1"/>
  <c r="I508" i="3"/>
  <c r="AF23" i="11"/>
  <c r="G163" i="3"/>
  <c r="AF143" i="11" s="1"/>
  <c r="AF146" i="11" s="1"/>
  <c r="H207" i="3"/>
  <c r="AG144" i="11" s="1"/>
  <c r="AF145" i="11"/>
  <c r="H137" i="3"/>
  <c r="AG75" i="11"/>
  <c r="J141" i="3"/>
  <c r="J142" i="3" s="1"/>
  <c r="J143" i="3" s="1"/>
  <c r="G404" i="3"/>
  <c r="G371" i="3"/>
  <c r="G381" i="3" s="1"/>
  <c r="I270" i="3"/>
  <c r="I398" i="3"/>
  <c r="I364" i="3"/>
  <c r="I470" i="3"/>
  <c r="I429" i="3"/>
  <c r="J272" i="3"/>
  <c r="J400" i="3"/>
  <c r="J366" i="3"/>
  <c r="J472" i="3"/>
  <c r="J431" i="3"/>
  <c r="I271" i="3"/>
  <c r="I365" i="3"/>
  <c r="I430" i="3"/>
  <c r="I471" i="3"/>
  <c r="I399" i="3"/>
  <c r="H279" i="3"/>
  <c r="H12" i="3" s="1"/>
  <c r="AG135" i="11" s="1"/>
  <c r="I173" i="3"/>
  <c r="I288" i="3"/>
  <c r="I125" i="3"/>
  <c r="I85" i="3"/>
  <c r="I45" i="3"/>
  <c r="I314" i="3"/>
  <c r="I172" i="3"/>
  <c r="I44" i="3"/>
  <c r="I124" i="3"/>
  <c r="I287" i="3"/>
  <c r="I313" i="3"/>
  <c r="I84" i="3"/>
  <c r="J174" i="3"/>
  <c r="J46" i="3"/>
  <c r="J86" i="3"/>
  <c r="J315" i="3"/>
  <c r="J289" i="3"/>
  <c r="J126" i="3"/>
  <c r="I234" i="3"/>
  <c r="I237" i="3" s="1"/>
  <c r="I250" i="3" s="1"/>
  <c r="I20" i="3" s="1"/>
  <c r="AH138" i="11" s="1"/>
  <c r="AF11" i="11"/>
  <c r="I227" i="3"/>
  <c r="I230" i="3" s="1"/>
  <c r="I249" i="3" s="1"/>
  <c r="I241" i="3"/>
  <c r="I244" i="3" s="1"/>
  <c r="I251" i="3" s="1"/>
  <c r="J192" i="3"/>
  <c r="K190" i="3" s="1"/>
  <c r="J226" i="3"/>
  <c r="J197" i="3"/>
  <c r="K195" i="3" s="1"/>
  <c r="J233" i="3"/>
  <c r="J202" i="3"/>
  <c r="K200" i="3" s="1"/>
  <c r="J240" i="3"/>
  <c r="H247" i="3"/>
  <c r="I180" i="3"/>
  <c r="H136" i="3"/>
  <c r="H506" i="3" s="1"/>
  <c r="H150" i="3"/>
  <c r="I131" i="3"/>
  <c r="I132" i="3" s="1"/>
  <c r="J129" i="3" s="1"/>
  <c r="J9" i="1"/>
  <c r="K7" i="3" s="1"/>
  <c r="K502" i="3" s="1"/>
  <c r="I8" i="1"/>
  <c r="J6" i="3" s="1"/>
  <c r="J501" i="3" s="1"/>
  <c r="I7" i="1"/>
  <c r="J5" i="3" s="1"/>
  <c r="G387" i="3" l="1"/>
  <c r="G53" i="3" s="1"/>
  <c r="AF13" i="11"/>
  <c r="J500" i="3"/>
  <c r="J520" i="3"/>
  <c r="AG77" i="11"/>
  <c r="H510" i="3"/>
  <c r="AI74" i="11"/>
  <c r="J508" i="3"/>
  <c r="G164" i="3"/>
  <c r="AF14" i="11" s="1"/>
  <c r="G435" i="3"/>
  <c r="G441" i="3" s="1"/>
  <c r="G62" i="3" s="1"/>
  <c r="G292" i="3"/>
  <c r="G275" i="3"/>
  <c r="G280" i="3" s="1"/>
  <c r="G13" i="3" s="1"/>
  <c r="H255" i="3"/>
  <c r="H257" i="3" s="1"/>
  <c r="G412" i="3"/>
  <c r="G411" i="3"/>
  <c r="G417" i="3"/>
  <c r="I205" i="3"/>
  <c r="I207" i="3" s="1"/>
  <c r="AH144" i="11" s="1"/>
  <c r="G166" i="3"/>
  <c r="G156" i="3"/>
  <c r="AF12" i="11" s="1"/>
  <c r="G10" i="3"/>
  <c r="H264" i="3"/>
  <c r="K141" i="3"/>
  <c r="K142" i="3" s="1"/>
  <c r="K143" i="3" s="1"/>
  <c r="H160" i="3"/>
  <c r="H152" i="3"/>
  <c r="AG22" i="11" s="1"/>
  <c r="H159" i="3"/>
  <c r="AG76" i="11"/>
  <c r="G55" i="3"/>
  <c r="G91" i="3"/>
  <c r="K272" i="3"/>
  <c r="K472" i="3"/>
  <c r="K431" i="3"/>
  <c r="K366" i="3"/>
  <c r="K400" i="3"/>
  <c r="J270" i="3"/>
  <c r="J364" i="3"/>
  <c r="J429" i="3"/>
  <c r="J398" i="3"/>
  <c r="J470" i="3"/>
  <c r="J271" i="3"/>
  <c r="J399" i="3"/>
  <c r="J471" i="3"/>
  <c r="J430" i="3"/>
  <c r="J365" i="3"/>
  <c r="I279" i="3"/>
  <c r="I12" i="3" s="1"/>
  <c r="AH135" i="11" s="1"/>
  <c r="H252" i="3"/>
  <c r="K126" i="3"/>
  <c r="K174" i="3"/>
  <c r="K315" i="3"/>
  <c r="K289" i="3"/>
  <c r="K86" i="3"/>
  <c r="K46" i="3"/>
  <c r="J172" i="3"/>
  <c r="J84" i="3"/>
  <c r="J313" i="3"/>
  <c r="J44" i="3"/>
  <c r="J287" i="3"/>
  <c r="J124" i="3"/>
  <c r="J173" i="3"/>
  <c r="J314" i="3"/>
  <c r="J45" i="3"/>
  <c r="J85" i="3"/>
  <c r="J288" i="3"/>
  <c r="J125" i="3"/>
  <c r="J227" i="3"/>
  <c r="J230" i="3" s="1"/>
  <c r="J249" i="3" s="1"/>
  <c r="J241" i="3"/>
  <c r="J244" i="3" s="1"/>
  <c r="J251" i="3" s="1"/>
  <c r="K240" i="3"/>
  <c r="K202" i="3"/>
  <c r="L200" i="3" s="1"/>
  <c r="K197" i="3"/>
  <c r="L195" i="3" s="1"/>
  <c r="K233" i="3"/>
  <c r="J234" i="3"/>
  <c r="J237" i="3" s="1"/>
  <c r="J250" i="3" s="1"/>
  <c r="J20" i="3" s="1"/>
  <c r="AI138" i="11" s="1"/>
  <c r="K226" i="3"/>
  <c r="K192" i="3"/>
  <c r="L190" i="3" s="1"/>
  <c r="I182" i="3"/>
  <c r="I213" i="3" s="1"/>
  <c r="I216" i="3" s="1"/>
  <c r="I247" i="3" s="1"/>
  <c r="I212" i="3"/>
  <c r="G258" i="3"/>
  <c r="H151" i="3"/>
  <c r="H146" i="3"/>
  <c r="AG79" i="11" s="1"/>
  <c r="H138" i="3"/>
  <c r="I135" i="3" s="1"/>
  <c r="I136" i="3"/>
  <c r="I506" i="3" s="1"/>
  <c r="H158" i="3"/>
  <c r="J131" i="3"/>
  <c r="K9" i="1"/>
  <c r="L7" i="3" s="1"/>
  <c r="L502" i="3" s="1"/>
  <c r="J7" i="1"/>
  <c r="K5" i="3" s="1"/>
  <c r="K500" i="3" s="1"/>
  <c r="J8" i="1"/>
  <c r="K6" i="3" s="1"/>
  <c r="K501" i="3" s="1"/>
  <c r="G63" i="3" l="1"/>
  <c r="AJ74" i="11"/>
  <c r="K508" i="3"/>
  <c r="G14" i="3"/>
  <c r="AG145" i="11"/>
  <c r="G281" i="3"/>
  <c r="G414" i="3"/>
  <c r="G260" i="3"/>
  <c r="G259" i="3"/>
  <c r="G296" i="3"/>
  <c r="G297" i="3"/>
  <c r="G445" i="3"/>
  <c r="G320" i="3"/>
  <c r="G104" i="3"/>
  <c r="L141" i="3"/>
  <c r="L142" i="3" s="1"/>
  <c r="L143" i="3" s="1"/>
  <c r="I255" i="3"/>
  <c r="AH145" i="11" s="1"/>
  <c r="J205" i="3"/>
  <c r="H161" i="3"/>
  <c r="H410" i="3"/>
  <c r="J207" i="3"/>
  <c r="J255" i="3" s="1"/>
  <c r="AI144" i="11"/>
  <c r="AF136" i="11"/>
  <c r="H153" i="3"/>
  <c r="AG23" i="11" s="1"/>
  <c r="AG21" i="11"/>
  <c r="I159" i="3"/>
  <c r="AH76" i="11"/>
  <c r="AG78" i="11"/>
  <c r="G103" i="3"/>
  <c r="H383" i="3"/>
  <c r="H103" i="3" s="1"/>
  <c r="K270" i="3"/>
  <c r="K364" i="3"/>
  <c r="K470" i="3"/>
  <c r="K429" i="3"/>
  <c r="K398" i="3"/>
  <c r="L272" i="3"/>
  <c r="L472" i="3"/>
  <c r="L431" i="3"/>
  <c r="L400" i="3"/>
  <c r="L366" i="3"/>
  <c r="K271" i="3"/>
  <c r="K365" i="3"/>
  <c r="K471" i="3"/>
  <c r="K430" i="3"/>
  <c r="K399" i="3"/>
  <c r="H263" i="3"/>
  <c r="H295" i="3"/>
  <c r="H258" i="3"/>
  <c r="H259" i="3" s="1"/>
  <c r="J279" i="3"/>
  <c r="J12" i="3" s="1"/>
  <c r="I252" i="3"/>
  <c r="L126" i="3"/>
  <c r="L46" i="3"/>
  <c r="L289" i="3"/>
  <c r="L174" i="3"/>
  <c r="L86" i="3"/>
  <c r="L315" i="3"/>
  <c r="K173" i="3"/>
  <c r="K314" i="3"/>
  <c r="K288" i="3"/>
  <c r="K85" i="3"/>
  <c r="K125" i="3"/>
  <c r="K45" i="3"/>
  <c r="K172" i="3"/>
  <c r="K313" i="3"/>
  <c r="K124" i="3"/>
  <c r="K287" i="3"/>
  <c r="K84" i="3"/>
  <c r="K44" i="3"/>
  <c r="K241" i="3"/>
  <c r="K244" i="3" s="1"/>
  <c r="K251" i="3" s="1"/>
  <c r="K234" i="3"/>
  <c r="K237" i="3" s="1"/>
  <c r="K250" i="3" s="1"/>
  <c r="K20" i="3" s="1"/>
  <c r="AJ138" i="11" s="1"/>
  <c r="K227" i="3"/>
  <c r="K230" i="3" s="1"/>
  <c r="K249" i="3" s="1"/>
  <c r="L233" i="3"/>
  <c r="L197" i="3"/>
  <c r="M195" i="3" s="1"/>
  <c r="L202" i="3"/>
  <c r="M200" i="3" s="1"/>
  <c r="L240" i="3"/>
  <c r="L192" i="3"/>
  <c r="M190" i="3" s="1"/>
  <c r="L226" i="3"/>
  <c r="J180" i="3"/>
  <c r="J212" i="3" s="1"/>
  <c r="H147" i="3"/>
  <c r="H148" i="3"/>
  <c r="AG80" i="11" s="1"/>
  <c r="I151" i="3"/>
  <c r="AH21" i="11" s="1"/>
  <c r="I264" i="3"/>
  <c r="H154" i="3"/>
  <c r="H162" i="3"/>
  <c r="J132" i="3"/>
  <c r="K129" i="3" s="1"/>
  <c r="J136" i="3"/>
  <c r="J506" i="3" s="1"/>
  <c r="L9" i="1"/>
  <c r="M7" i="3" s="1"/>
  <c r="M502" i="3" s="1"/>
  <c r="K8" i="1"/>
  <c r="L6" i="3" s="1"/>
  <c r="L501" i="3" s="1"/>
  <c r="K7" i="1"/>
  <c r="L5" i="3" s="1"/>
  <c r="L500" i="3" s="1"/>
  <c r="G16" i="3" l="1"/>
  <c r="G509" i="3" s="1"/>
  <c r="G514" i="3" s="1"/>
  <c r="AK74" i="11"/>
  <c r="L508" i="3"/>
  <c r="G418" i="3"/>
  <c r="G419" i="3" s="1"/>
  <c r="G57" i="3"/>
  <c r="G422" i="3"/>
  <c r="G384" i="3"/>
  <c r="G303" i="3"/>
  <c r="G21" i="3" s="1"/>
  <c r="AF139" i="11" s="1"/>
  <c r="G302" i="3"/>
  <c r="G298" i="3"/>
  <c r="G301" i="3" s="1"/>
  <c r="G446" i="3"/>
  <c r="G450" i="3"/>
  <c r="G451" i="3" s="1"/>
  <c r="G372" i="3"/>
  <c r="G382" i="3" s="1"/>
  <c r="M141" i="3"/>
  <c r="M142" i="3" s="1"/>
  <c r="M143" i="3" s="1"/>
  <c r="I257" i="3"/>
  <c r="H163" i="3"/>
  <c r="H435" i="3" s="1"/>
  <c r="H441" i="3" s="1"/>
  <c r="H320" i="3" s="1"/>
  <c r="K205" i="3"/>
  <c r="K207" i="3" s="1"/>
  <c r="AI135" i="11"/>
  <c r="J257" i="3"/>
  <c r="AI145" i="11"/>
  <c r="H155" i="3"/>
  <c r="H404" i="3" s="1"/>
  <c r="H412" i="3" s="1"/>
  <c r="H389" i="3"/>
  <c r="H55" i="3" s="1"/>
  <c r="J159" i="3"/>
  <c r="AI76" i="11"/>
  <c r="I137" i="3"/>
  <c r="I510" i="3" s="1"/>
  <c r="AH75" i="11"/>
  <c r="I383" i="3"/>
  <c r="I103" i="3" s="1"/>
  <c r="L270" i="3"/>
  <c r="L470" i="3"/>
  <c r="L429" i="3"/>
  <c r="L364" i="3"/>
  <c r="L398" i="3"/>
  <c r="L271" i="3"/>
  <c r="L471" i="3"/>
  <c r="L430" i="3"/>
  <c r="L399" i="3"/>
  <c r="L365" i="3"/>
  <c r="M272" i="3"/>
  <c r="M400" i="3"/>
  <c r="M431" i="3"/>
  <c r="M472" i="3"/>
  <c r="M366" i="3"/>
  <c r="I295" i="3"/>
  <c r="I258" i="3"/>
  <c r="I259" i="3" s="1"/>
  <c r="I263" i="3"/>
  <c r="K279" i="3"/>
  <c r="K12" i="3" s="1"/>
  <c r="AJ135" i="11" s="1"/>
  <c r="L172" i="3"/>
  <c r="L124" i="3"/>
  <c r="L44" i="3"/>
  <c r="L84" i="3"/>
  <c r="L313" i="3"/>
  <c r="L287" i="3"/>
  <c r="L173" i="3"/>
  <c r="L288" i="3"/>
  <c r="L125" i="3"/>
  <c r="L314" i="3"/>
  <c r="L45" i="3"/>
  <c r="L85" i="3"/>
  <c r="M126" i="3"/>
  <c r="M289" i="3"/>
  <c r="M86" i="3"/>
  <c r="M315" i="3"/>
  <c r="M46" i="3"/>
  <c r="M174" i="3"/>
  <c r="J182" i="3"/>
  <c r="J213" i="3" s="1"/>
  <c r="J216" i="3" s="1"/>
  <c r="J247" i="3" s="1"/>
  <c r="L234" i="3"/>
  <c r="L237" i="3" s="1"/>
  <c r="L250" i="3" s="1"/>
  <c r="L20" i="3" s="1"/>
  <c r="AK138" i="11" s="1"/>
  <c r="L241" i="3"/>
  <c r="L244" i="3" s="1"/>
  <c r="L251" i="3" s="1"/>
  <c r="L227" i="3"/>
  <c r="L230" i="3" s="1"/>
  <c r="L249" i="3" s="1"/>
  <c r="M240" i="3"/>
  <c r="M202" i="3"/>
  <c r="N200" i="3" s="1"/>
  <c r="M197" i="3"/>
  <c r="N195" i="3" s="1"/>
  <c r="M233" i="3"/>
  <c r="M226" i="3"/>
  <c r="M192" i="3"/>
  <c r="N190" i="3" s="1"/>
  <c r="J151" i="3"/>
  <c r="AI21" i="11" s="1"/>
  <c r="M9" i="1"/>
  <c r="N7" i="3" s="1"/>
  <c r="N502" i="3" s="1"/>
  <c r="L8" i="1"/>
  <c r="M6" i="3" s="1"/>
  <c r="M501" i="3" s="1"/>
  <c r="L7" i="1"/>
  <c r="M5" i="3" s="1"/>
  <c r="M500" i="3" s="1"/>
  <c r="AF140" i="11" l="1"/>
  <c r="G19" i="3"/>
  <c r="G507" i="3"/>
  <c r="AL74" i="11"/>
  <c r="M508" i="3"/>
  <c r="G455" i="3"/>
  <c r="G456" i="3" s="1"/>
  <c r="G460" i="3" s="1"/>
  <c r="G27" i="3"/>
  <c r="G304" i="3"/>
  <c r="G305" i="3"/>
  <c r="G388" i="3"/>
  <c r="G102" i="3"/>
  <c r="G105" i="3" s="1"/>
  <c r="G459" i="3"/>
  <c r="H444" i="3"/>
  <c r="G306" i="3"/>
  <c r="G390" i="3"/>
  <c r="G56" i="3" s="1"/>
  <c r="G92" i="3"/>
  <c r="G307" i="3"/>
  <c r="AG13" i="11"/>
  <c r="I158" i="3"/>
  <c r="H164" i="3"/>
  <c r="AG14" i="11" s="1"/>
  <c r="H260" i="3"/>
  <c r="I389" i="3"/>
  <c r="I55" i="3" s="1"/>
  <c r="H275" i="3"/>
  <c r="H280" i="3" s="1"/>
  <c r="H13" i="3" s="1"/>
  <c r="G423" i="3"/>
  <c r="AG143" i="11"/>
  <c r="AG146" i="11" s="1"/>
  <c r="H292" i="3"/>
  <c r="H297" i="3" s="1"/>
  <c r="H445" i="3"/>
  <c r="H371" i="3"/>
  <c r="H381" i="3" s="1"/>
  <c r="L205" i="3"/>
  <c r="L207" i="3" s="1"/>
  <c r="AJ144" i="11"/>
  <c r="H10" i="3"/>
  <c r="K255" i="3"/>
  <c r="K257" i="3" s="1"/>
  <c r="H166" i="3"/>
  <c r="I150" i="3"/>
  <c r="AG11" i="11"/>
  <c r="H156" i="3"/>
  <c r="AG12" i="11" s="1"/>
  <c r="H62" i="3"/>
  <c r="AH77" i="11"/>
  <c r="I152" i="3"/>
  <c r="I138" i="3"/>
  <c r="J135" i="3" s="1"/>
  <c r="I146" i="3"/>
  <c r="AH79" i="11" s="1"/>
  <c r="I160" i="3"/>
  <c r="I161" i="3" s="1"/>
  <c r="H411" i="3"/>
  <c r="H417" i="3"/>
  <c r="I410" i="3"/>
  <c r="H104" i="3"/>
  <c r="H414" i="3"/>
  <c r="M270" i="3"/>
  <c r="M429" i="3"/>
  <c r="M470" i="3"/>
  <c r="M398" i="3"/>
  <c r="M364" i="3"/>
  <c r="N272" i="3"/>
  <c r="N400" i="3"/>
  <c r="N472" i="3"/>
  <c r="N366" i="3"/>
  <c r="N431" i="3"/>
  <c r="M271" i="3"/>
  <c r="M430" i="3"/>
  <c r="M399" i="3"/>
  <c r="M471" i="3"/>
  <c r="M365" i="3"/>
  <c r="L279" i="3"/>
  <c r="L12" i="3" s="1"/>
  <c r="J264" i="3"/>
  <c r="J252" i="3"/>
  <c r="M173" i="3"/>
  <c r="M288" i="3"/>
  <c r="M45" i="3"/>
  <c r="M314" i="3"/>
  <c r="M85" i="3"/>
  <c r="M125" i="3"/>
  <c r="M172" i="3"/>
  <c r="M287" i="3"/>
  <c r="M313" i="3"/>
  <c r="M44" i="3"/>
  <c r="M124" i="3"/>
  <c r="M84" i="3"/>
  <c r="N126" i="3"/>
  <c r="N86" i="3"/>
  <c r="N46" i="3"/>
  <c r="N315" i="3"/>
  <c r="N289" i="3"/>
  <c r="N174" i="3"/>
  <c r="K180" i="3"/>
  <c r="M234" i="3"/>
  <c r="M237" i="3" s="1"/>
  <c r="M250" i="3" s="1"/>
  <c r="M20" i="3" s="1"/>
  <c r="AL138" i="11" s="1"/>
  <c r="M241" i="3"/>
  <c r="M244" i="3" s="1"/>
  <c r="M251" i="3" s="1"/>
  <c r="N192" i="3"/>
  <c r="O190" i="3" s="1"/>
  <c r="N226" i="3"/>
  <c r="N197" i="3"/>
  <c r="O195" i="3" s="1"/>
  <c r="N233" i="3"/>
  <c r="M227" i="3"/>
  <c r="M230" i="3" s="1"/>
  <c r="M249" i="3" s="1"/>
  <c r="N202" i="3"/>
  <c r="O200" i="3" s="1"/>
  <c r="N240" i="3"/>
  <c r="N141" i="3"/>
  <c r="N142" i="3" s="1"/>
  <c r="N143" i="3" s="1"/>
  <c r="K131" i="3"/>
  <c r="K136" i="3" s="1"/>
  <c r="K506" i="3" s="1"/>
  <c r="N9" i="1"/>
  <c r="O7" i="3" s="1"/>
  <c r="O502" i="3" s="1"/>
  <c r="M7" i="1"/>
  <c r="N5" i="3" s="1"/>
  <c r="M8" i="1"/>
  <c r="N6" i="3" s="1"/>
  <c r="N501" i="3" s="1"/>
  <c r="H422" i="3" l="1"/>
  <c r="H63" i="3"/>
  <c r="G22" i="3"/>
  <c r="G335" i="3" s="1"/>
  <c r="G51" i="3"/>
  <c r="AF137" i="11"/>
  <c r="G513" i="3"/>
  <c r="N500" i="3"/>
  <c r="H454" i="3"/>
  <c r="AM74" i="11"/>
  <c r="N508" i="3"/>
  <c r="G461" i="3"/>
  <c r="G95" i="3" s="1"/>
  <c r="G392" i="3"/>
  <c r="G54" i="3"/>
  <c r="H387" i="3"/>
  <c r="H53" i="3" s="1"/>
  <c r="H446" i="3"/>
  <c r="I444" i="3" s="1"/>
  <c r="H281" i="3"/>
  <c r="H450" i="3"/>
  <c r="H451" i="3" s="1"/>
  <c r="H27" i="3" s="1"/>
  <c r="H296" i="3"/>
  <c r="H302" i="3" s="1"/>
  <c r="H91" i="3"/>
  <c r="M205" i="3"/>
  <c r="M207" i="3" s="1"/>
  <c r="AL144" i="11" s="1"/>
  <c r="AK144" i="11"/>
  <c r="AK135" i="11"/>
  <c r="AJ145" i="11"/>
  <c r="L255" i="3"/>
  <c r="AK145" i="11" s="1"/>
  <c r="H14" i="3"/>
  <c r="AG136" i="11"/>
  <c r="I153" i="3"/>
  <c r="AH23" i="11" s="1"/>
  <c r="AH22" i="11"/>
  <c r="K159" i="3"/>
  <c r="AJ76" i="11"/>
  <c r="AH78" i="11"/>
  <c r="I148" i="3"/>
  <c r="AH80" i="11" s="1"/>
  <c r="I147" i="3"/>
  <c r="I154" i="3"/>
  <c r="I162" i="3"/>
  <c r="I163" i="3" s="1"/>
  <c r="AH143" i="11" s="1"/>
  <c r="AH146" i="11" s="1"/>
  <c r="H384" i="3"/>
  <c r="H92" i="3" s="1"/>
  <c r="H418" i="3"/>
  <c r="H419" i="3" s="1"/>
  <c r="H423" i="3" s="1"/>
  <c r="H57" i="3"/>
  <c r="J263" i="3"/>
  <c r="J383" i="3"/>
  <c r="N270" i="3"/>
  <c r="N398" i="3"/>
  <c r="N364" i="3"/>
  <c r="N429" i="3"/>
  <c r="N470" i="3"/>
  <c r="O272" i="3"/>
  <c r="O472" i="3"/>
  <c r="O431" i="3"/>
  <c r="O366" i="3"/>
  <c r="O400" i="3"/>
  <c r="N271" i="3"/>
  <c r="N365" i="3"/>
  <c r="N471" i="3"/>
  <c r="N430" i="3"/>
  <c r="N399" i="3"/>
  <c r="J258" i="3"/>
  <c r="J259" i="3" s="1"/>
  <c r="J295" i="3"/>
  <c r="M279" i="3"/>
  <c r="M12" i="3" s="1"/>
  <c r="AL135" i="11" s="1"/>
  <c r="H303" i="3"/>
  <c r="H21" i="3" s="1"/>
  <c r="N172" i="3"/>
  <c r="N313" i="3"/>
  <c r="N44" i="3"/>
  <c r="N84" i="3"/>
  <c r="N287" i="3"/>
  <c r="N124" i="3"/>
  <c r="K182" i="3"/>
  <c r="K212" i="3"/>
  <c r="O126" i="3"/>
  <c r="O174" i="3"/>
  <c r="O315" i="3"/>
  <c r="O86" i="3"/>
  <c r="O289" i="3"/>
  <c r="O46" i="3"/>
  <c r="N173" i="3"/>
  <c r="N314" i="3"/>
  <c r="N125" i="3"/>
  <c r="N85" i="3"/>
  <c r="N45" i="3"/>
  <c r="N288" i="3"/>
  <c r="N227" i="3"/>
  <c r="N230" i="3" s="1"/>
  <c r="N249" i="3" s="1"/>
  <c r="N234" i="3"/>
  <c r="N237" i="3" s="1"/>
  <c r="N250" i="3" s="1"/>
  <c r="N20" i="3" s="1"/>
  <c r="AM138" i="11" s="1"/>
  <c r="O202" i="3"/>
  <c r="P200" i="3" s="1"/>
  <c r="O240" i="3"/>
  <c r="O197" i="3"/>
  <c r="P195" i="3" s="1"/>
  <c r="O233" i="3"/>
  <c r="N241" i="3"/>
  <c r="N244" i="3" s="1"/>
  <c r="N251" i="3" s="1"/>
  <c r="O192" i="3"/>
  <c r="P190" i="3" s="1"/>
  <c r="O226" i="3"/>
  <c r="K151" i="3"/>
  <c r="AJ21" i="11" s="1"/>
  <c r="O141" i="3"/>
  <c r="O142" i="3" s="1"/>
  <c r="O143" i="3" s="1"/>
  <c r="K132" i="3"/>
  <c r="L129" i="3" s="1"/>
  <c r="O9" i="1"/>
  <c r="P7" i="3" s="1"/>
  <c r="P502" i="3" s="1"/>
  <c r="N7" i="1"/>
  <c r="O5" i="3" s="1"/>
  <c r="O500" i="3" s="1"/>
  <c r="N8" i="1"/>
  <c r="O6" i="3" s="1"/>
  <c r="O501" i="3" s="1"/>
  <c r="G28" i="3" l="1"/>
  <c r="G32" i="3" s="1"/>
  <c r="G35" i="3" s="1"/>
  <c r="G38" i="3" s="1"/>
  <c r="G50" i="3" s="1"/>
  <c r="G58" i="3" s="1"/>
  <c r="AF141" i="11"/>
  <c r="G24" i="3"/>
  <c r="AF142" i="11" s="1"/>
  <c r="G516" i="3"/>
  <c r="G515" i="3"/>
  <c r="AN74" i="11"/>
  <c r="O508" i="3"/>
  <c r="H459" i="3"/>
  <c r="G464" i="3"/>
  <c r="H19" i="3"/>
  <c r="H507" i="3"/>
  <c r="H372" i="3"/>
  <c r="H382" i="3" s="1"/>
  <c r="H388" i="3" s="1"/>
  <c r="H298" i="3"/>
  <c r="H301" i="3" s="1"/>
  <c r="H305" i="3" s="1"/>
  <c r="N205" i="3"/>
  <c r="N207" i="3" s="1"/>
  <c r="AM144" i="11" s="1"/>
  <c r="H16" i="3"/>
  <c r="AG139" i="11"/>
  <c r="H51" i="3"/>
  <c r="L257" i="3"/>
  <c r="M255" i="3"/>
  <c r="M257" i="3" s="1"/>
  <c r="H390" i="3"/>
  <c r="H56" i="3" s="1"/>
  <c r="I155" i="3"/>
  <c r="I371" i="3" s="1"/>
  <c r="I381" i="3" s="1"/>
  <c r="I435" i="3"/>
  <c r="I441" i="3" s="1"/>
  <c r="AH13" i="11"/>
  <c r="I260" i="3"/>
  <c r="I292" i="3"/>
  <c r="I297" i="3" s="1"/>
  <c r="I275" i="3"/>
  <c r="I280" i="3" s="1"/>
  <c r="I281" i="3" s="1"/>
  <c r="I164" i="3"/>
  <c r="AH14" i="11" s="1"/>
  <c r="J158" i="3"/>
  <c r="J137" i="3"/>
  <c r="AI75" i="11"/>
  <c r="J389" i="3"/>
  <c r="J55" i="3" s="1"/>
  <c r="J103" i="3"/>
  <c r="H455" i="3"/>
  <c r="H456" i="3" s="1"/>
  <c r="O271" i="3"/>
  <c r="O471" i="3"/>
  <c r="O430" i="3"/>
  <c r="O399" i="3"/>
  <c r="O365" i="3"/>
  <c r="O270" i="3"/>
  <c r="O398" i="3"/>
  <c r="O470" i="3"/>
  <c r="O364" i="3"/>
  <c r="O429" i="3"/>
  <c r="P272" i="3"/>
  <c r="P472" i="3"/>
  <c r="P431" i="3"/>
  <c r="P400" i="3"/>
  <c r="P366" i="3"/>
  <c r="N279" i="3"/>
  <c r="N12" i="3" s="1"/>
  <c r="K264" i="3"/>
  <c r="K213" i="3"/>
  <c r="K216" i="3" s="1"/>
  <c r="L180" i="3"/>
  <c r="O172" i="3"/>
  <c r="O124" i="3"/>
  <c r="O313" i="3"/>
  <c r="O84" i="3"/>
  <c r="O287" i="3"/>
  <c r="O44" i="3"/>
  <c r="O173" i="3"/>
  <c r="O85" i="3"/>
  <c r="O314" i="3"/>
  <c r="O125" i="3"/>
  <c r="O45" i="3"/>
  <c r="O288" i="3"/>
  <c r="P126" i="3"/>
  <c r="P289" i="3"/>
  <c r="P315" i="3"/>
  <c r="P174" i="3"/>
  <c r="P46" i="3"/>
  <c r="P86" i="3"/>
  <c r="O241" i="3"/>
  <c r="O244" i="3" s="1"/>
  <c r="O251" i="3" s="1"/>
  <c r="O234" i="3"/>
  <c r="O237" i="3" s="1"/>
  <c r="O250" i="3" s="1"/>
  <c r="O20" i="3" s="1"/>
  <c r="AN138" i="11" s="1"/>
  <c r="P233" i="3"/>
  <c r="P197" i="3"/>
  <c r="Q195" i="3" s="1"/>
  <c r="P192" i="3"/>
  <c r="Q190" i="3" s="1"/>
  <c r="P226" i="3"/>
  <c r="O227" i="3"/>
  <c r="O230" i="3" s="1"/>
  <c r="O249" i="3" s="1"/>
  <c r="P202" i="3"/>
  <c r="Q200" i="3" s="1"/>
  <c r="P240" i="3"/>
  <c r="P141" i="3"/>
  <c r="P142" i="3" s="1"/>
  <c r="P143" i="3" s="1"/>
  <c r="L131" i="3"/>
  <c r="L136" i="3" s="1"/>
  <c r="L506" i="3" s="1"/>
  <c r="P9" i="1"/>
  <c r="Q7" i="3" s="1"/>
  <c r="Q502" i="3" s="1"/>
  <c r="O7" i="1"/>
  <c r="P5" i="3" s="1"/>
  <c r="P500" i="3" s="1"/>
  <c r="O8" i="1"/>
  <c r="P6" i="3" s="1"/>
  <c r="P501" i="3" s="1"/>
  <c r="I91" i="3" l="1"/>
  <c r="H22" i="3"/>
  <c r="H28" i="3" s="1"/>
  <c r="G476" i="3"/>
  <c r="G487" i="3" s="1"/>
  <c r="G489" i="3" s="1"/>
  <c r="H304" i="3"/>
  <c r="H307" i="3"/>
  <c r="H306" i="3"/>
  <c r="H513" i="3"/>
  <c r="AG137" i="11"/>
  <c r="AO74" i="11"/>
  <c r="P508" i="3"/>
  <c r="J138" i="3"/>
  <c r="K135" i="3" s="1"/>
  <c r="J510" i="3"/>
  <c r="H102" i="3"/>
  <c r="H105" i="3" s="1"/>
  <c r="AG140" i="11"/>
  <c r="H509" i="3"/>
  <c r="H514" i="3" s="1"/>
  <c r="G319" i="3"/>
  <c r="G321" i="3" s="1"/>
  <c r="I454" i="3"/>
  <c r="N255" i="3"/>
  <c r="N257" i="3" s="1"/>
  <c r="O205" i="3"/>
  <c r="O207" i="3" s="1"/>
  <c r="H392" i="3"/>
  <c r="AL145" i="11"/>
  <c r="AM135" i="11"/>
  <c r="I387" i="3"/>
  <c r="I53" i="3" s="1"/>
  <c r="J150" i="3"/>
  <c r="AH11" i="11"/>
  <c r="I166" i="3"/>
  <c r="I296" i="3"/>
  <c r="I298" i="3" s="1"/>
  <c r="I301" i="3" s="1"/>
  <c r="I404" i="3"/>
  <c r="I13" i="3"/>
  <c r="I156" i="3"/>
  <c r="AH12" i="11" s="1"/>
  <c r="I10" i="3"/>
  <c r="AI77" i="11"/>
  <c r="J146" i="3"/>
  <c r="AI79" i="11" s="1"/>
  <c r="J160" i="3"/>
  <c r="J161" i="3" s="1"/>
  <c r="J152" i="3"/>
  <c r="L159" i="3"/>
  <c r="AK76" i="11"/>
  <c r="I62" i="3"/>
  <c r="I445" i="3"/>
  <c r="I320" i="3"/>
  <c r="I384" i="3"/>
  <c r="I390" i="3" s="1"/>
  <c r="I56" i="3" s="1"/>
  <c r="H54" i="3"/>
  <c r="H460" i="3"/>
  <c r="H461" i="3" s="1"/>
  <c r="H95" i="3" s="1"/>
  <c r="P270" i="3"/>
  <c r="P470" i="3"/>
  <c r="P429" i="3"/>
  <c r="P398" i="3"/>
  <c r="P364" i="3"/>
  <c r="P271" i="3"/>
  <c r="P471" i="3"/>
  <c r="P430" i="3"/>
  <c r="P399" i="3"/>
  <c r="P365" i="3"/>
  <c r="Q272" i="3"/>
  <c r="Q472" i="3"/>
  <c r="Q431" i="3"/>
  <c r="Q400" i="3"/>
  <c r="Q366" i="3"/>
  <c r="O279" i="3"/>
  <c r="O12" i="3" s="1"/>
  <c r="AN135" i="11" s="1"/>
  <c r="I303" i="3"/>
  <c r="I21" i="3" s="1"/>
  <c r="L182" i="3"/>
  <c r="L213" i="3" s="1"/>
  <c r="L216" i="3" s="1"/>
  <c r="L212" i="3"/>
  <c r="K247" i="3"/>
  <c r="Q126" i="3"/>
  <c r="Q289" i="3"/>
  <c r="Q46" i="3"/>
  <c r="Q174" i="3"/>
  <c r="Q315" i="3"/>
  <c r="Q86" i="3"/>
  <c r="P173" i="3"/>
  <c r="P45" i="3"/>
  <c r="P314" i="3"/>
  <c r="P288" i="3"/>
  <c r="P125" i="3"/>
  <c r="P85" i="3"/>
  <c r="P172" i="3"/>
  <c r="P287" i="3"/>
  <c r="P313" i="3"/>
  <c r="P44" i="3"/>
  <c r="P84" i="3"/>
  <c r="P124" i="3"/>
  <c r="Q141" i="3"/>
  <c r="Q142" i="3" s="1"/>
  <c r="Q143" i="3" s="1"/>
  <c r="P241" i="3"/>
  <c r="P244" i="3" s="1"/>
  <c r="P251" i="3" s="1"/>
  <c r="P227" i="3"/>
  <c r="P230" i="3" s="1"/>
  <c r="P249" i="3" s="1"/>
  <c r="P234" i="3"/>
  <c r="P237" i="3" s="1"/>
  <c r="P250" i="3" s="1"/>
  <c r="P20" i="3" s="1"/>
  <c r="AO138" i="11" s="1"/>
  <c r="Q192" i="3"/>
  <c r="R190" i="3" s="1"/>
  <c r="Q226" i="3"/>
  <c r="Q240" i="3"/>
  <c r="Q202" i="3"/>
  <c r="R200" i="3" s="1"/>
  <c r="Q233" i="3"/>
  <c r="Q197" i="3"/>
  <c r="R195" i="3" s="1"/>
  <c r="L151" i="3"/>
  <c r="AK21" i="11" s="1"/>
  <c r="L132" i="3"/>
  <c r="M129" i="3" s="1"/>
  <c r="Q9" i="1"/>
  <c r="R7" i="3" s="1"/>
  <c r="R502" i="3" s="1"/>
  <c r="P7" i="1"/>
  <c r="Q5" i="3" s="1"/>
  <c r="Q500" i="3" s="1"/>
  <c r="P8" i="1"/>
  <c r="Q6" i="3" s="1"/>
  <c r="Q501" i="3" s="1"/>
  <c r="I63" i="3" l="1"/>
  <c r="H335" i="3"/>
  <c r="H24" i="3"/>
  <c r="AG142" i="11" s="1"/>
  <c r="AG141" i="11"/>
  <c r="J148" i="3"/>
  <c r="AI80" i="11" s="1"/>
  <c r="J154" i="3"/>
  <c r="J162" i="3"/>
  <c r="J163" i="3" s="1"/>
  <c r="AI143" i="11" s="1"/>
  <c r="AI146" i="11" s="1"/>
  <c r="J147" i="3"/>
  <c r="AI78" i="11"/>
  <c r="H515" i="3"/>
  <c r="AP74" i="11"/>
  <c r="Q508" i="3"/>
  <c r="H516" i="3"/>
  <c r="G493" i="3"/>
  <c r="H486" i="3"/>
  <c r="G111" i="3"/>
  <c r="G340" i="3"/>
  <c r="AF227" i="11" s="1"/>
  <c r="G336" i="3"/>
  <c r="G325" i="3"/>
  <c r="G326" i="3" s="1"/>
  <c r="G330" i="3"/>
  <c r="AM145" i="11"/>
  <c r="H464" i="3"/>
  <c r="P205" i="3"/>
  <c r="P207" i="3" s="1"/>
  <c r="Q205" i="3" s="1"/>
  <c r="AN144" i="11"/>
  <c r="AH139" i="11"/>
  <c r="I302" i="3"/>
  <c r="O255" i="3"/>
  <c r="AN145" i="11" s="1"/>
  <c r="I372" i="3"/>
  <c r="I382" i="3" s="1"/>
  <c r="I388" i="3" s="1"/>
  <c r="I392" i="3" s="1"/>
  <c r="I412" i="3"/>
  <c r="I417" i="3"/>
  <c r="I411" i="3"/>
  <c r="I14" i="3"/>
  <c r="AH136" i="11"/>
  <c r="J153" i="3"/>
  <c r="AI22" i="11"/>
  <c r="K137" i="3"/>
  <c r="AJ75" i="11"/>
  <c r="I450" i="3"/>
  <c r="I446" i="3"/>
  <c r="I92" i="3"/>
  <c r="Q271" i="3"/>
  <c r="Q471" i="3"/>
  <c r="Q430" i="3"/>
  <c r="Q399" i="3"/>
  <c r="Q365" i="3"/>
  <c r="R272" i="3"/>
  <c r="R472" i="3"/>
  <c r="R431" i="3"/>
  <c r="R400" i="3"/>
  <c r="R366" i="3"/>
  <c r="Q270" i="3"/>
  <c r="Q470" i="3"/>
  <c r="Q429" i="3"/>
  <c r="Q398" i="3"/>
  <c r="Q364" i="3"/>
  <c r="P279" i="3"/>
  <c r="P12" i="3" s="1"/>
  <c r="AO135" i="11" s="1"/>
  <c r="K252" i="3"/>
  <c r="Q124" i="3"/>
  <c r="Q172" i="3"/>
  <c r="Q287" i="3"/>
  <c r="Q313" i="3"/>
  <c r="Q44" i="3"/>
  <c r="Q84" i="3"/>
  <c r="L247" i="3"/>
  <c r="Q173" i="3"/>
  <c r="Q314" i="3"/>
  <c r="Q288" i="3"/>
  <c r="Q125" i="3"/>
  <c r="Q85" i="3"/>
  <c r="Q45" i="3"/>
  <c r="R126" i="3"/>
  <c r="R289" i="3"/>
  <c r="R86" i="3"/>
  <c r="R46" i="3"/>
  <c r="R315" i="3"/>
  <c r="R174" i="3"/>
  <c r="L264" i="3"/>
  <c r="M180" i="3"/>
  <c r="R141" i="3"/>
  <c r="R142" i="3" s="1"/>
  <c r="R143" i="3" s="1"/>
  <c r="Q241" i="3"/>
  <c r="Q244" i="3" s="1"/>
  <c r="Q251" i="3" s="1"/>
  <c r="I307" i="3"/>
  <c r="I304" i="3"/>
  <c r="Q234" i="3"/>
  <c r="Q237" i="3" s="1"/>
  <c r="Q250" i="3" s="1"/>
  <c r="Q20" i="3" s="1"/>
  <c r="AP138" i="11" s="1"/>
  <c r="I306" i="3"/>
  <c r="R202" i="3"/>
  <c r="S200" i="3" s="1"/>
  <c r="R240" i="3"/>
  <c r="R226" i="3"/>
  <c r="R192" i="3"/>
  <c r="S190" i="3" s="1"/>
  <c r="R233" i="3"/>
  <c r="R197" i="3"/>
  <c r="S195" i="3" s="1"/>
  <c r="Q227" i="3"/>
  <c r="Q230" i="3" s="1"/>
  <c r="Q249" i="3" s="1"/>
  <c r="I305" i="3"/>
  <c r="M131" i="3"/>
  <c r="M136" i="3" s="1"/>
  <c r="M506" i="3" s="1"/>
  <c r="R9" i="1"/>
  <c r="S7" i="3" s="1"/>
  <c r="S502" i="3" s="1"/>
  <c r="Q7" i="1"/>
  <c r="R5" i="3" s="1"/>
  <c r="R500" i="3" s="1"/>
  <c r="Q8" i="1"/>
  <c r="R6" i="3" s="1"/>
  <c r="R501" i="3" s="1"/>
  <c r="AF226" i="11" l="1"/>
  <c r="G523" i="3"/>
  <c r="G525" i="3" s="1"/>
  <c r="I19" i="3"/>
  <c r="I507" i="3"/>
  <c r="K138" i="3"/>
  <c r="L135" i="3" s="1"/>
  <c r="K510" i="3"/>
  <c r="AQ74" i="11"/>
  <c r="R508" i="3"/>
  <c r="G341" i="3"/>
  <c r="AF259" i="11" s="1"/>
  <c r="G338" i="3"/>
  <c r="H324" i="3"/>
  <c r="H346" i="3" s="1"/>
  <c r="G345" i="3"/>
  <c r="O257" i="3"/>
  <c r="AO144" i="11"/>
  <c r="I16" i="3"/>
  <c r="I102" i="3"/>
  <c r="P255" i="3"/>
  <c r="AO145" i="11" s="1"/>
  <c r="J260" i="3"/>
  <c r="AI13" i="11"/>
  <c r="J275" i="3"/>
  <c r="J280" i="3" s="1"/>
  <c r="J13" i="3" s="1"/>
  <c r="AI136" i="11" s="1"/>
  <c r="J435" i="3"/>
  <c r="J441" i="3" s="1"/>
  <c r="J320" i="3" s="1"/>
  <c r="J410" i="3"/>
  <c r="I104" i="3"/>
  <c r="I414" i="3"/>
  <c r="Q207" i="3"/>
  <c r="AP144" i="11" s="1"/>
  <c r="J164" i="3"/>
  <c r="AI14" i="11" s="1"/>
  <c r="J292" i="3"/>
  <c r="J296" i="3" s="1"/>
  <c r="K158" i="3"/>
  <c r="J155" i="3"/>
  <c r="AI23" i="11"/>
  <c r="J444" i="3"/>
  <c r="I459" i="3"/>
  <c r="M159" i="3"/>
  <c r="AL76" i="11"/>
  <c r="AJ77" i="11"/>
  <c r="K146" i="3"/>
  <c r="AJ79" i="11" s="1"/>
  <c r="K152" i="3"/>
  <c r="K160" i="3"/>
  <c r="K161" i="3" s="1"/>
  <c r="I451" i="3"/>
  <c r="I54" i="3"/>
  <c r="K383" i="3"/>
  <c r="K103" i="3" s="1"/>
  <c r="R271" i="3"/>
  <c r="R471" i="3"/>
  <c r="R430" i="3"/>
  <c r="R399" i="3"/>
  <c r="R365" i="3"/>
  <c r="R270" i="3"/>
  <c r="R470" i="3"/>
  <c r="R429" i="3"/>
  <c r="R398" i="3"/>
  <c r="R364" i="3"/>
  <c r="S272" i="3"/>
  <c r="S431" i="3"/>
  <c r="S400" i="3"/>
  <c r="S366" i="3"/>
  <c r="S472" i="3"/>
  <c r="K263" i="3"/>
  <c r="K295" i="3"/>
  <c r="Q279" i="3"/>
  <c r="Q12" i="3" s="1"/>
  <c r="AP135" i="11" s="1"/>
  <c r="K258" i="3"/>
  <c r="K259" i="3" s="1"/>
  <c r="L252" i="3"/>
  <c r="M182" i="3"/>
  <c r="M213" i="3" s="1"/>
  <c r="M216" i="3" s="1"/>
  <c r="M212" i="3"/>
  <c r="R124" i="3"/>
  <c r="R287" i="3"/>
  <c r="R44" i="3"/>
  <c r="R172" i="3"/>
  <c r="R313" i="3"/>
  <c r="R84" i="3"/>
  <c r="S315" i="3"/>
  <c r="S174" i="3"/>
  <c r="S289" i="3"/>
  <c r="S86" i="3"/>
  <c r="S126" i="3"/>
  <c r="S46" i="3"/>
  <c r="R125" i="3"/>
  <c r="R45" i="3"/>
  <c r="R288" i="3"/>
  <c r="R314" i="3"/>
  <c r="R173" i="3"/>
  <c r="R85" i="3"/>
  <c r="S141" i="3"/>
  <c r="S142" i="3" s="1"/>
  <c r="S143" i="3" s="1"/>
  <c r="R234" i="3"/>
  <c r="R237" i="3" s="1"/>
  <c r="R250" i="3" s="1"/>
  <c r="R20" i="3" s="1"/>
  <c r="R241" i="3"/>
  <c r="R244" i="3" s="1"/>
  <c r="R251" i="3" s="1"/>
  <c r="R227" i="3"/>
  <c r="R230" i="3" s="1"/>
  <c r="R249" i="3" s="1"/>
  <c r="S202" i="3"/>
  <c r="T200" i="3" s="1"/>
  <c r="S240" i="3"/>
  <c r="S226" i="3"/>
  <c r="S192" i="3"/>
  <c r="T190" i="3" s="1"/>
  <c r="S233" i="3"/>
  <c r="S197" i="3"/>
  <c r="T195" i="3" s="1"/>
  <c r="M151" i="3"/>
  <c r="AL21" i="11" s="1"/>
  <c r="M132" i="3"/>
  <c r="N129" i="3" s="1"/>
  <c r="S9" i="1"/>
  <c r="T7" i="3" s="1"/>
  <c r="T502" i="3" s="1"/>
  <c r="R7" i="1"/>
  <c r="S5" i="3" s="1"/>
  <c r="S500" i="3" s="1"/>
  <c r="R8" i="1"/>
  <c r="S6" i="3" s="1"/>
  <c r="S501" i="3" s="1"/>
  <c r="I422" i="3" l="1"/>
  <c r="AH137" i="11"/>
  <c r="I22" i="3"/>
  <c r="K162" i="3"/>
  <c r="K163" i="3" s="1"/>
  <c r="AJ143" i="11" s="1"/>
  <c r="AJ146" i="11" s="1"/>
  <c r="K147" i="3"/>
  <c r="G524" i="3"/>
  <c r="G527" i="3" s="1"/>
  <c r="AF152" i="11" s="1"/>
  <c r="AR74" i="11"/>
  <c r="S508" i="3"/>
  <c r="I513" i="3"/>
  <c r="K148" i="3"/>
  <c r="AJ80" i="11" s="1"/>
  <c r="K154" i="3"/>
  <c r="AJ78" i="11"/>
  <c r="AH140" i="11"/>
  <c r="I509" i="3"/>
  <c r="I514" i="3" s="1"/>
  <c r="N131" i="3"/>
  <c r="J281" i="3"/>
  <c r="AQ138" i="11"/>
  <c r="J302" i="11"/>
  <c r="P257" i="3"/>
  <c r="I105" i="3"/>
  <c r="R205" i="3"/>
  <c r="R207" i="3" s="1"/>
  <c r="S205" i="3" s="1"/>
  <c r="J445" i="3"/>
  <c r="J450" i="3" s="1"/>
  <c r="J451" i="3" s="1"/>
  <c r="J27" i="3" s="1"/>
  <c r="J51" i="3" s="1"/>
  <c r="J62" i="3"/>
  <c r="I418" i="3"/>
  <c r="I419" i="3" s="1"/>
  <c r="I423" i="3" s="1"/>
  <c r="I57" i="3"/>
  <c r="Q255" i="3"/>
  <c r="AP145" i="11" s="1"/>
  <c r="J297" i="3"/>
  <c r="J298" i="3" s="1"/>
  <c r="J301" i="3" s="1"/>
  <c r="K389" i="3"/>
  <c r="K55" i="3" s="1"/>
  <c r="K153" i="3"/>
  <c r="AJ22" i="11"/>
  <c r="K150" i="3"/>
  <c r="J371" i="3"/>
  <c r="J381" i="3" s="1"/>
  <c r="J156" i="3"/>
  <c r="AI12" i="11" s="1"/>
  <c r="AI11" i="11"/>
  <c r="J10" i="3"/>
  <c r="J166" i="3"/>
  <c r="J404" i="3"/>
  <c r="I27" i="3"/>
  <c r="I455" i="3"/>
  <c r="I456" i="3" s="1"/>
  <c r="L137" i="3"/>
  <c r="L510" i="3" s="1"/>
  <c r="AK75" i="11"/>
  <c r="J302" i="3"/>
  <c r="L383" i="3"/>
  <c r="L103" i="3" s="1"/>
  <c r="S270" i="3"/>
  <c r="S470" i="3"/>
  <c r="S429" i="3"/>
  <c r="S398" i="3"/>
  <c r="S364" i="3"/>
  <c r="T272" i="3"/>
  <c r="T400" i="3"/>
  <c r="T366" i="3"/>
  <c r="T472" i="3"/>
  <c r="T431" i="3"/>
  <c r="S271" i="3"/>
  <c r="S430" i="3"/>
  <c r="S399" i="3"/>
  <c r="S365" i="3"/>
  <c r="S471" i="3"/>
  <c r="L263" i="3"/>
  <c r="L295" i="3"/>
  <c r="R279" i="3"/>
  <c r="R12" i="3" s="1"/>
  <c r="AQ135" i="11" s="1"/>
  <c r="L258" i="3"/>
  <c r="L259" i="3" s="1"/>
  <c r="S288" i="3"/>
  <c r="S173" i="3"/>
  <c r="S85" i="3"/>
  <c r="S314" i="3"/>
  <c r="S125" i="3"/>
  <c r="S45" i="3"/>
  <c r="S172" i="3"/>
  <c r="S44" i="3"/>
  <c r="S313" i="3"/>
  <c r="S124" i="3"/>
  <c r="S84" i="3"/>
  <c r="S287" i="3"/>
  <c r="T315" i="3"/>
  <c r="T86" i="3"/>
  <c r="T126" i="3"/>
  <c r="T46" i="3"/>
  <c r="T174" i="3"/>
  <c r="T289" i="3"/>
  <c r="M247" i="3"/>
  <c r="N180" i="3"/>
  <c r="M264" i="3"/>
  <c r="S241" i="3"/>
  <c r="S244" i="3" s="1"/>
  <c r="S251" i="3" s="1"/>
  <c r="T141" i="3"/>
  <c r="T142" i="3" s="1"/>
  <c r="T143" i="3" s="1"/>
  <c r="S227" i="3"/>
  <c r="S230" i="3" s="1"/>
  <c r="S249" i="3" s="1"/>
  <c r="T226" i="3"/>
  <c r="T192" i="3"/>
  <c r="U190" i="3" s="1"/>
  <c r="S234" i="3"/>
  <c r="S237" i="3" s="1"/>
  <c r="S250" i="3" s="1"/>
  <c r="S20" i="3" s="1"/>
  <c r="T202" i="3"/>
  <c r="U200" i="3" s="1"/>
  <c r="T240" i="3"/>
  <c r="T197" i="3"/>
  <c r="U195" i="3" s="1"/>
  <c r="T233" i="3"/>
  <c r="T9" i="1"/>
  <c r="U7" i="3" s="1"/>
  <c r="U502" i="3" s="1"/>
  <c r="S7" i="1"/>
  <c r="T5" i="3" s="1"/>
  <c r="T500" i="3" s="1"/>
  <c r="S8" i="1"/>
  <c r="T6" i="3" s="1"/>
  <c r="T501" i="3" s="1"/>
  <c r="J14" i="3" l="1"/>
  <c r="J16" i="3" s="1"/>
  <c r="J63" i="3"/>
  <c r="I335" i="3"/>
  <c r="AH141" i="11"/>
  <c r="I24" i="3"/>
  <c r="AH142" i="11" s="1"/>
  <c r="G526" i="3"/>
  <c r="AF151" i="11" s="1"/>
  <c r="I515" i="3"/>
  <c r="I516" i="3"/>
  <c r="J19" i="3"/>
  <c r="J507" i="3"/>
  <c r="AS74" i="11"/>
  <c r="T508" i="3"/>
  <c r="N136" i="3"/>
  <c r="N506" i="3" s="1"/>
  <c r="N132" i="3"/>
  <c r="O129" i="3" s="1"/>
  <c r="O131" i="3" s="1"/>
  <c r="O136" i="3" s="1"/>
  <c r="O506" i="3" s="1"/>
  <c r="AR138" i="11"/>
  <c r="Q257" i="3"/>
  <c r="AQ144" i="11"/>
  <c r="J455" i="3"/>
  <c r="J446" i="3"/>
  <c r="J384" i="3"/>
  <c r="J390" i="3" s="1"/>
  <c r="J56" i="3" s="1"/>
  <c r="R255" i="3"/>
  <c r="R257" i="3" s="1"/>
  <c r="J303" i="3"/>
  <c r="J21" i="3" s="1"/>
  <c r="K260" i="3"/>
  <c r="K292" i="3"/>
  <c r="K297" i="3" s="1"/>
  <c r="J372" i="3"/>
  <c r="J382" i="3" s="1"/>
  <c r="J388" i="3" s="1"/>
  <c r="AJ13" i="11"/>
  <c r="K164" i="3"/>
  <c r="AJ14" i="11" s="1"/>
  <c r="K435" i="3"/>
  <c r="K441" i="3" s="1"/>
  <c r="K320" i="3" s="1"/>
  <c r="K275" i="3"/>
  <c r="K280" i="3" s="1"/>
  <c r="K13" i="3" s="1"/>
  <c r="AJ136" i="11" s="1"/>
  <c r="S207" i="3"/>
  <c r="AR144" i="11" s="1"/>
  <c r="L158" i="3"/>
  <c r="J412" i="3"/>
  <c r="J411" i="3"/>
  <c r="J417" i="3"/>
  <c r="J387" i="3"/>
  <c r="J53" i="3" s="1"/>
  <c r="J91" i="3"/>
  <c r="K155" i="3"/>
  <c r="AJ23" i="11"/>
  <c r="I460" i="3"/>
  <c r="I461" i="3" s="1"/>
  <c r="I95" i="3" s="1"/>
  <c r="J454" i="3"/>
  <c r="AK77" i="11"/>
  <c r="L160" i="3"/>
  <c r="L161" i="3" s="1"/>
  <c r="L152" i="3"/>
  <c r="L146" i="3"/>
  <c r="AK79" i="11" s="1"/>
  <c r="J307" i="3"/>
  <c r="J304" i="3"/>
  <c r="J306" i="3"/>
  <c r="J305" i="3"/>
  <c r="L138" i="3"/>
  <c r="M135" i="3" s="1"/>
  <c r="I51" i="3"/>
  <c r="I28" i="3"/>
  <c r="L389" i="3"/>
  <c r="L55" i="3" s="1"/>
  <c r="U272" i="3"/>
  <c r="U366" i="3"/>
  <c r="U431" i="3"/>
  <c r="U472" i="3"/>
  <c r="U400" i="3"/>
  <c r="T271" i="3"/>
  <c r="T399" i="3"/>
  <c r="T365" i="3"/>
  <c r="T430" i="3"/>
  <c r="T471" i="3"/>
  <c r="T270" i="3"/>
  <c r="T429" i="3"/>
  <c r="T398" i="3"/>
  <c r="T364" i="3"/>
  <c r="T470" i="3"/>
  <c r="S279" i="3"/>
  <c r="S12" i="3" s="1"/>
  <c r="M252" i="3"/>
  <c r="T313" i="3"/>
  <c r="T124" i="3"/>
  <c r="T84" i="3"/>
  <c r="T172" i="3"/>
  <c r="T44" i="3"/>
  <c r="T287" i="3"/>
  <c r="T125" i="3"/>
  <c r="T314" i="3"/>
  <c r="T85" i="3"/>
  <c r="T45" i="3"/>
  <c r="T288" i="3"/>
  <c r="T173" i="3"/>
  <c r="N182" i="3"/>
  <c r="N213" i="3" s="1"/>
  <c r="N216" i="3" s="1"/>
  <c r="N212" i="3"/>
  <c r="U126" i="3"/>
  <c r="U86" i="3"/>
  <c r="U289" i="3"/>
  <c r="U174" i="3"/>
  <c r="U46" i="3"/>
  <c r="U315" i="3"/>
  <c r="U141" i="3"/>
  <c r="U142" i="3" s="1"/>
  <c r="T234" i="3"/>
  <c r="T237" i="3" s="1"/>
  <c r="T250" i="3" s="1"/>
  <c r="T20" i="3" s="1"/>
  <c r="AS138" i="11" s="1"/>
  <c r="U192" i="3"/>
  <c r="V190" i="3" s="1"/>
  <c r="U226" i="3"/>
  <c r="U197" i="3"/>
  <c r="V195" i="3" s="1"/>
  <c r="U233" i="3"/>
  <c r="U240" i="3"/>
  <c r="U202" i="3"/>
  <c r="V200" i="3" s="1"/>
  <c r="T227" i="3"/>
  <c r="T230" i="3" s="1"/>
  <c r="T249" i="3" s="1"/>
  <c r="T241" i="3"/>
  <c r="T244" i="3" s="1"/>
  <c r="T251" i="3" s="1"/>
  <c r="U9" i="1"/>
  <c r="V7" i="3" s="1"/>
  <c r="V502" i="3" s="1"/>
  <c r="T8" i="1"/>
  <c r="U6" i="3" s="1"/>
  <c r="U501" i="3" s="1"/>
  <c r="T7" i="1"/>
  <c r="U5" i="3" s="1"/>
  <c r="U500" i="3" s="1"/>
  <c r="AI137" i="11" l="1"/>
  <c r="J513" i="3"/>
  <c r="AI140" i="11"/>
  <c r="J509" i="3"/>
  <c r="J514" i="3" s="1"/>
  <c r="N151" i="3"/>
  <c r="AM21" i="11" s="1"/>
  <c r="N159" i="3"/>
  <c r="AM76" i="11"/>
  <c r="J459" i="3"/>
  <c r="I464" i="3"/>
  <c r="T205" i="3"/>
  <c r="T207" i="3" s="1"/>
  <c r="T255" i="3" s="1"/>
  <c r="J102" i="3"/>
  <c r="AR135" i="11"/>
  <c r="K444" i="3"/>
  <c r="AI139" i="11"/>
  <c r="J456" i="3"/>
  <c r="J460" i="3" s="1"/>
  <c r="J92" i="3"/>
  <c r="AQ145" i="11"/>
  <c r="K445" i="3"/>
  <c r="J22" i="3"/>
  <c r="K296" i="3"/>
  <c r="K372" i="3" s="1"/>
  <c r="K382" i="3" s="1"/>
  <c r="K62" i="3"/>
  <c r="S255" i="3"/>
  <c r="S257" i="3" s="1"/>
  <c r="K281" i="3"/>
  <c r="K404" i="3"/>
  <c r="K10" i="3"/>
  <c r="AJ11" i="11"/>
  <c r="K166" i="3"/>
  <c r="L150" i="3"/>
  <c r="K371" i="3"/>
  <c r="K381" i="3" s="1"/>
  <c r="K156" i="3"/>
  <c r="AJ12" i="11" s="1"/>
  <c r="L153" i="3"/>
  <c r="AK23" i="11" s="1"/>
  <c r="AK22" i="11"/>
  <c r="J414" i="3"/>
  <c r="K410" i="3"/>
  <c r="J104" i="3"/>
  <c r="K303" i="3"/>
  <c r="K21" i="3" s="1"/>
  <c r="AJ139" i="11" s="1"/>
  <c r="K384" i="3"/>
  <c r="J392" i="3"/>
  <c r="J54" i="3"/>
  <c r="AK78" i="11"/>
  <c r="L154" i="3"/>
  <c r="L148" i="3"/>
  <c r="AK80" i="11" s="1"/>
  <c r="L162" i="3"/>
  <c r="L163" i="3" s="1"/>
  <c r="AK143" i="11" s="1"/>
  <c r="AK146" i="11" s="1"/>
  <c r="L147" i="3"/>
  <c r="O159" i="3"/>
  <c r="AN76" i="11"/>
  <c r="M383" i="3"/>
  <c r="M389" i="3" s="1"/>
  <c r="M55" i="3" s="1"/>
  <c r="V272" i="3"/>
  <c r="V472" i="3"/>
  <c r="V431" i="3"/>
  <c r="V400" i="3"/>
  <c r="V366" i="3"/>
  <c r="U270" i="3"/>
  <c r="U398" i="3"/>
  <c r="U364" i="3"/>
  <c r="U429" i="3"/>
  <c r="U470" i="3"/>
  <c r="U271" i="3"/>
  <c r="U365" i="3"/>
  <c r="U430" i="3"/>
  <c r="U399" i="3"/>
  <c r="U471" i="3"/>
  <c r="M263" i="3"/>
  <c r="M295" i="3"/>
  <c r="M258" i="3"/>
  <c r="M259" i="3" s="1"/>
  <c r="T279" i="3"/>
  <c r="T12" i="3" s="1"/>
  <c r="AS135" i="11" s="1"/>
  <c r="U172" i="3"/>
  <c r="U313" i="3"/>
  <c r="U84" i="3"/>
  <c r="U44" i="3"/>
  <c r="U124" i="3"/>
  <c r="U287" i="3"/>
  <c r="U173" i="3"/>
  <c r="U85" i="3"/>
  <c r="U288" i="3"/>
  <c r="U125" i="3"/>
  <c r="U45" i="3"/>
  <c r="U314" i="3"/>
  <c r="N264" i="3"/>
  <c r="O180" i="3"/>
  <c r="V126" i="3"/>
  <c r="V46" i="3"/>
  <c r="V174" i="3"/>
  <c r="V315" i="3"/>
  <c r="V86" i="3"/>
  <c r="V289" i="3"/>
  <c r="N247" i="3"/>
  <c r="U227" i="3"/>
  <c r="U230" i="3" s="1"/>
  <c r="U249" i="3" s="1"/>
  <c r="U241" i="3"/>
  <c r="U244" i="3" s="1"/>
  <c r="U251" i="3" s="1"/>
  <c r="V233" i="3"/>
  <c r="V197" i="3"/>
  <c r="W195" i="3" s="1"/>
  <c r="V192" i="3"/>
  <c r="W190" i="3" s="1"/>
  <c r="V226" i="3"/>
  <c r="U234" i="3"/>
  <c r="U237" i="3" s="1"/>
  <c r="U250" i="3" s="1"/>
  <c r="U20" i="3" s="1"/>
  <c r="AT138" i="11" s="1"/>
  <c r="V240" i="3"/>
  <c r="V202" i="3"/>
  <c r="W200" i="3" s="1"/>
  <c r="U143" i="3"/>
  <c r="O151" i="3"/>
  <c r="AN21" i="11" s="1"/>
  <c r="O132" i="3"/>
  <c r="P129" i="3" s="1"/>
  <c r="V9" i="1"/>
  <c r="W7" i="3" s="1"/>
  <c r="W502" i="3" s="1"/>
  <c r="U8" i="1"/>
  <c r="V6" i="3" s="1"/>
  <c r="V501" i="3" s="1"/>
  <c r="U7" i="1"/>
  <c r="V5" i="3" s="1"/>
  <c r="V500" i="3" s="1"/>
  <c r="K14" i="3" l="1"/>
  <c r="K16" i="3" s="1"/>
  <c r="J422" i="3"/>
  <c r="K63" i="3"/>
  <c r="J24" i="3"/>
  <c r="AI142" i="11" s="1"/>
  <c r="J515" i="3"/>
  <c r="J461" i="3"/>
  <c r="J95" i="3" s="1"/>
  <c r="AT74" i="11"/>
  <c r="U508" i="3"/>
  <c r="J516" i="3"/>
  <c r="K446" i="3"/>
  <c r="K459" i="3" s="1"/>
  <c r="J105" i="3"/>
  <c r="K454" i="3"/>
  <c r="AR145" i="11"/>
  <c r="AI141" i="11"/>
  <c r="K450" i="3"/>
  <c r="K451" i="3" s="1"/>
  <c r="K298" i="3"/>
  <c r="K301" i="3" s="1"/>
  <c r="K307" i="3" s="1"/>
  <c r="K302" i="3"/>
  <c r="J335" i="3"/>
  <c r="J28" i="3"/>
  <c r="AS144" i="11"/>
  <c r="U205" i="3"/>
  <c r="U207" i="3" s="1"/>
  <c r="T257" i="3"/>
  <c r="AS145" i="11"/>
  <c r="K91" i="3"/>
  <c r="K387" i="3"/>
  <c r="K53" i="3" s="1"/>
  <c r="J418" i="3"/>
  <c r="J419" i="3" s="1"/>
  <c r="J423" i="3" s="1"/>
  <c r="J57" i="3"/>
  <c r="L155" i="3"/>
  <c r="L10" i="3" s="1"/>
  <c r="K411" i="3"/>
  <c r="K412" i="3"/>
  <c r="K417" i="3"/>
  <c r="K102" i="3"/>
  <c r="K388" i="3"/>
  <c r="M137" i="3"/>
  <c r="AL75" i="11"/>
  <c r="L435" i="3"/>
  <c r="L441" i="3" s="1"/>
  <c r="L275" i="3"/>
  <c r="L280" i="3" s="1"/>
  <c r="L292" i="3"/>
  <c r="AK13" i="11"/>
  <c r="L164" i="3"/>
  <c r="AK14" i="11" s="1"/>
  <c r="M158" i="3"/>
  <c r="L260" i="3"/>
  <c r="K92" i="3"/>
  <c r="K390" i="3"/>
  <c r="K56" i="3" s="1"/>
  <c r="M103" i="3"/>
  <c r="V270" i="3"/>
  <c r="V364" i="3"/>
  <c r="V429" i="3"/>
  <c r="V398" i="3"/>
  <c r="V470" i="3"/>
  <c r="V271" i="3"/>
  <c r="V399" i="3"/>
  <c r="V471" i="3"/>
  <c r="V365" i="3"/>
  <c r="V430" i="3"/>
  <c r="W272" i="3"/>
  <c r="W472" i="3"/>
  <c r="W366" i="3"/>
  <c r="W431" i="3"/>
  <c r="W400" i="3"/>
  <c r="U279" i="3"/>
  <c r="U12" i="3" s="1"/>
  <c r="AT135" i="11" s="1"/>
  <c r="N252" i="3"/>
  <c r="V172" i="3"/>
  <c r="V287" i="3"/>
  <c r="V313" i="3"/>
  <c r="V44" i="3"/>
  <c r="V84" i="3"/>
  <c r="V124" i="3"/>
  <c r="W126" i="3"/>
  <c r="W86" i="3"/>
  <c r="W174" i="3"/>
  <c r="W315" i="3"/>
  <c r="W46" i="3"/>
  <c r="W289" i="3"/>
  <c r="O212" i="3"/>
  <c r="O182" i="3"/>
  <c r="V173" i="3"/>
  <c r="V314" i="3"/>
  <c r="V85" i="3"/>
  <c r="V45" i="3"/>
  <c r="V125" i="3"/>
  <c r="V288" i="3"/>
  <c r="V141" i="3"/>
  <c r="V142" i="3" s="1"/>
  <c r="V234" i="3"/>
  <c r="V237" i="3" s="1"/>
  <c r="V250" i="3" s="1"/>
  <c r="V20" i="3" s="1"/>
  <c r="AU138" i="11" s="1"/>
  <c r="V241" i="3"/>
  <c r="V244" i="3" s="1"/>
  <c r="V251" i="3" s="1"/>
  <c r="V227" i="3"/>
  <c r="V230" i="3" s="1"/>
  <c r="V249" i="3" s="1"/>
  <c r="W192" i="3"/>
  <c r="X190" i="3" s="1"/>
  <c r="W226" i="3"/>
  <c r="W240" i="3"/>
  <c r="W202" i="3"/>
  <c r="X200" i="3" s="1"/>
  <c r="W197" i="3"/>
  <c r="X195" i="3" s="1"/>
  <c r="W233" i="3"/>
  <c r="P131" i="3"/>
  <c r="P136" i="3" s="1"/>
  <c r="P506" i="3" s="1"/>
  <c r="W9" i="1"/>
  <c r="X7" i="3" s="1"/>
  <c r="X502" i="3" s="1"/>
  <c r="V8" i="1"/>
  <c r="W6" i="3" s="1"/>
  <c r="W501" i="3" s="1"/>
  <c r="V7" i="1"/>
  <c r="W5" i="3" s="1"/>
  <c r="W500" i="3" s="1"/>
  <c r="J464" i="3" l="1"/>
  <c r="L444" i="3"/>
  <c r="K19" i="3"/>
  <c r="AJ137" i="11" s="1"/>
  <c r="K507" i="3"/>
  <c r="M138" i="3"/>
  <c r="N135" i="3" s="1"/>
  <c r="M510" i="3"/>
  <c r="AJ140" i="11"/>
  <c r="K509" i="3"/>
  <c r="K514" i="3" s="1"/>
  <c r="K304" i="3"/>
  <c r="K306" i="3"/>
  <c r="K22" i="3"/>
  <c r="K24" i="3" s="1"/>
  <c r="AJ142" i="11" s="1"/>
  <c r="K305" i="3"/>
  <c r="AT144" i="11"/>
  <c r="V205" i="3"/>
  <c r="V207" i="3" s="1"/>
  <c r="V255" i="3" s="1"/>
  <c r="U255" i="3"/>
  <c r="U257" i="3" s="1"/>
  <c r="AK11" i="11"/>
  <c r="L166" i="3"/>
  <c r="M150" i="3"/>
  <c r="L404" i="3"/>
  <c r="L417" i="3" s="1"/>
  <c r="L410" i="3"/>
  <c r="K414" i="3"/>
  <c r="K422" i="3" s="1"/>
  <c r="K104" i="3"/>
  <c r="K105" i="3" s="1"/>
  <c r="L156" i="3"/>
  <c r="AK12" i="11" s="1"/>
  <c r="L371" i="3"/>
  <c r="L381" i="3" s="1"/>
  <c r="L387" i="3" s="1"/>
  <c r="L53" i="3" s="1"/>
  <c r="L13" i="3"/>
  <c r="L281" i="3"/>
  <c r="L296" i="3"/>
  <c r="L297" i="3"/>
  <c r="AL77" i="11"/>
  <c r="M146" i="3"/>
  <c r="AL79" i="11" s="1"/>
  <c r="M152" i="3"/>
  <c r="M160" i="3"/>
  <c r="M161" i="3" s="1"/>
  <c r="K27" i="3"/>
  <c r="K455" i="3"/>
  <c r="K456" i="3" s="1"/>
  <c r="L62" i="3"/>
  <c r="L63" i="3" s="1"/>
  <c r="L320" i="3"/>
  <c r="L445" i="3"/>
  <c r="P159" i="3"/>
  <c r="AO76" i="11"/>
  <c r="K392" i="3"/>
  <c r="K54" i="3"/>
  <c r="N383" i="3"/>
  <c r="N389" i="3" s="1"/>
  <c r="N55" i="3" s="1"/>
  <c r="W270" i="3"/>
  <c r="W470" i="3"/>
  <c r="W398" i="3"/>
  <c r="W429" i="3"/>
  <c r="W364" i="3"/>
  <c r="W271" i="3"/>
  <c r="W471" i="3"/>
  <c r="W430" i="3"/>
  <c r="W399" i="3"/>
  <c r="W365" i="3"/>
  <c r="X272" i="3"/>
  <c r="X472" i="3"/>
  <c r="X431" i="3"/>
  <c r="X400" i="3"/>
  <c r="X366" i="3"/>
  <c r="N263" i="3"/>
  <c r="N295" i="3"/>
  <c r="V279" i="3"/>
  <c r="V12" i="3" s="1"/>
  <c r="AU135" i="11" s="1"/>
  <c r="N258" i="3"/>
  <c r="N259" i="3" s="1"/>
  <c r="W173" i="3"/>
  <c r="W314" i="3"/>
  <c r="W45" i="3"/>
  <c r="W85" i="3"/>
  <c r="W288" i="3"/>
  <c r="W125" i="3"/>
  <c r="X126" i="3"/>
  <c r="X174" i="3"/>
  <c r="X46" i="3"/>
  <c r="X86" i="3"/>
  <c r="X289" i="3"/>
  <c r="X315" i="3"/>
  <c r="O213" i="3"/>
  <c r="O216" i="3" s="1"/>
  <c r="O264" i="3"/>
  <c r="P180" i="3"/>
  <c r="W172" i="3"/>
  <c r="W287" i="3"/>
  <c r="W84" i="3"/>
  <c r="W124" i="3"/>
  <c r="W313" i="3"/>
  <c r="W44" i="3"/>
  <c r="W227" i="3"/>
  <c r="W230" i="3" s="1"/>
  <c r="W249" i="3" s="1"/>
  <c r="W241" i="3"/>
  <c r="W244" i="3" s="1"/>
  <c r="W251" i="3" s="1"/>
  <c r="W234" i="3"/>
  <c r="W237" i="3" s="1"/>
  <c r="W250" i="3" s="1"/>
  <c r="W20" i="3" s="1"/>
  <c r="AV138" i="11" s="1"/>
  <c r="X192" i="3"/>
  <c r="Y190" i="3" s="1"/>
  <c r="X226" i="3"/>
  <c r="X202" i="3"/>
  <c r="Y200" i="3" s="1"/>
  <c r="X240" i="3"/>
  <c r="X233" i="3"/>
  <c r="X197" i="3"/>
  <c r="Y195" i="3" s="1"/>
  <c r="V143" i="3"/>
  <c r="P151" i="3"/>
  <c r="AO21" i="11" s="1"/>
  <c r="P132" i="3"/>
  <c r="Q129" i="3" s="1"/>
  <c r="X9" i="1"/>
  <c r="Y7" i="3" s="1"/>
  <c r="Y502" i="3" s="1"/>
  <c r="W8" i="1"/>
  <c r="X6" i="3" s="1"/>
  <c r="X501" i="3" s="1"/>
  <c r="W7" i="1"/>
  <c r="X5" i="3" s="1"/>
  <c r="X500" i="3" s="1"/>
  <c r="M162" i="3" l="1"/>
  <c r="M163" i="3" s="1"/>
  <c r="M435" i="3" s="1"/>
  <c r="M441" i="3" s="1"/>
  <c r="M147" i="3"/>
  <c r="M154" i="3"/>
  <c r="AL78" i="11"/>
  <c r="M148" i="3"/>
  <c r="AL80" i="11" s="1"/>
  <c r="AJ141" i="11"/>
  <c r="AU74" i="11"/>
  <c r="V508" i="3"/>
  <c r="K513" i="3"/>
  <c r="K515" i="3" s="1"/>
  <c r="K335" i="3"/>
  <c r="AT145" i="11"/>
  <c r="K51" i="3"/>
  <c r="AU144" i="11"/>
  <c r="W205" i="3"/>
  <c r="W207" i="3" s="1"/>
  <c r="W255" i="3" s="1"/>
  <c r="L91" i="3"/>
  <c r="V257" i="3"/>
  <c r="AU145" i="11"/>
  <c r="L411" i="3"/>
  <c r="L412" i="3"/>
  <c r="L14" i="3"/>
  <c r="AK136" i="11"/>
  <c r="M153" i="3"/>
  <c r="AL23" i="11" s="1"/>
  <c r="AL22" i="11"/>
  <c r="K57" i="3"/>
  <c r="K418" i="3"/>
  <c r="K419" i="3" s="1"/>
  <c r="K423" i="3" s="1"/>
  <c r="N137" i="3"/>
  <c r="AM75" i="11"/>
  <c r="K28" i="3"/>
  <c r="K460" i="3"/>
  <c r="L454" i="3"/>
  <c r="L384" i="3"/>
  <c r="L303" i="3"/>
  <c r="L21" i="3" s="1"/>
  <c r="AK139" i="11" s="1"/>
  <c r="L372" i="3"/>
  <c r="L382" i="3" s="1"/>
  <c r="L446" i="3"/>
  <c r="L450" i="3"/>
  <c r="L298" i="3"/>
  <c r="L301" i="3" s="1"/>
  <c r="L306" i="3" s="1"/>
  <c r="L302" i="3"/>
  <c r="N103" i="3"/>
  <c r="X271" i="3"/>
  <c r="X430" i="3"/>
  <c r="X471" i="3"/>
  <c r="X399" i="3"/>
  <c r="X365" i="3"/>
  <c r="Y272" i="3"/>
  <c r="Y400" i="3"/>
  <c r="Y431" i="3"/>
  <c r="Y472" i="3"/>
  <c r="Y366" i="3"/>
  <c r="X270" i="3"/>
  <c r="X470" i="3"/>
  <c r="X364" i="3"/>
  <c r="X429" i="3"/>
  <c r="X398" i="3"/>
  <c r="W279" i="3"/>
  <c r="W12" i="3" s="1"/>
  <c r="AV135" i="11" s="1"/>
  <c r="X172" i="3"/>
  <c r="X287" i="3"/>
  <c r="X124" i="3"/>
  <c r="X44" i="3"/>
  <c r="X84" i="3"/>
  <c r="X313" i="3"/>
  <c r="Y126" i="3"/>
  <c r="Y46" i="3"/>
  <c r="Y174" i="3"/>
  <c r="Y289" i="3"/>
  <c r="Y86" i="3"/>
  <c r="Y315" i="3"/>
  <c r="P182" i="3"/>
  <c r="P212" i="3"/>
  <c r="X173" i="3"/>
  <c r="X314" i="3"/>
  <c r="X45" i="3"/>
  <c r="X288" i="3"/>
  <c r="X125" i="3"/>
  <c r="X85" i="3"/>
  <c r="O247" i="3"/>
  <c r="W141" i="3"/>
  <c r="W142" i="3" s="1"/>
  <c r="W143" i="3" s="1"/>
  <c r="X227" i="3"/>
  <c r="X230" i="3" s="1"/>
  <c r="X249" i="3" s="1"/>
  <c r="X241" i="3"/>
  <c r="X244" i="3" s="1"/>
  <c r="X251" i="3" s="1"/>
  <c r="X234" i="3"/>
  <c r="X237" i="3" s="1"/>
  <c r="X250" i="3" s="1"/>
  <c r="X20" i="3" s="1"/>
  <c r="AW138" i="11" s="1"/>
  <c r="Y240" i="3"/>
  <c r="Y202" i="3"/>
  <c r="Z200" i="3" s="1"/>
  <c r="Y192" i="3"/>
  <c r="Z190" i="3" s="1"/>
  <c r="Y226" i="3"/>
  <c r="Y197" i="3"/>
  <c r="Z195" i="3" s="1"/>
  <c r="Y233" i="3"/>
  <c r="Q131" i="3"/>
  <c r="Q136" i="3" s="1"/>
  <c r="Y9" i="1"/>
  <c r="Z7" i="3" s="1"/>
  <c r="Z502" i="3" s="1"/>
  <c r="X8" i="1"/>
  <c r="Y6" i="3" s="1"/>
  <c r="Y501" i="3" s="1"/>
  <c r="X7" i="1"/>
  <c r="Y5" i="3" s="1"/>
  <c r="Y500" i="3" s="1"/>
  <c r="L16" i="3" l="1"/>
  <c r="L509" i="3" s="1"/>
  <c r="L514" i="3" s="1"/>
  <c r="H523" i="3"/>
  <c r="H525" i="3" s="1"/>
  <c r="L19" i="3"/>
  <c r="AK137" i="11" s="1"/>
  <c r="L507" i="3"/>
  <c r="K516" i="3"/>
  <c r="AV74" i="11"/>
  <c r="W508" i="3"/>
  <c r="AP76" i="11"/>
  <c r="Q506" i="3"/>
  <c r="N138" i="3"/>
  <c r="O135" i="3" s="1"/>
  <c r="N510" i="3"/>
  <c r="K461" i="3"/>
  <c r="K464" i="3" s="1"/>
  <c r="M410" i="3"/>
  <c r="AV144" i="11"/>
  <c r="N158" i="3"/>
  <c r="M164" i="3"/>
  <c r="AL14" i="11" s="1"/>
  <c r="M292" i="3"/>
  <c r="M297" i="3" s="1"/>
  <c r="AL13" i="11"/>
  <c r="L104" i="3"/>
  <c r="L414" i="3"/>
  <c r="L57" i="3" s="1"/>
  <c r="M275" i="3"/>
  <c r="M280" i="3" s="1"/>
  <c r="M13" i="3" s="1"/>
  <c r="W257" i="3"/>
  <c r="AV145" i="11"/>
  <c r="X205" i="3"/>
  <c r="M260" i="3"/>
  <c r="AL143" i="11"/>
  <c r="AL146" i="11" s="1"/>
  <c r="M155" i="3"/>
  <c r="N150" i="3" s="1"/>
  <c r="M444" i="3"/>
  <c r="L459" i="3"/>
  <c r="N146" i="3"/>
  <c r="AM79" i="11" s="1"/>
  <c r="AM77" i="11"/>
  <c r="N160" i="3"/>
  <c r="N161" i="3" s="1"/>
  <c r="N152" i="3"/>
  <c r="L102" i="3"/>
  <c r="L388" i="3"/>
  <c r="L92" i="3"/>
  <c r="L390" i="3"/>
  <c r="L56" i="3" s="1"/>
  <c r="L307" i="3"/>
  <c r="L305" i="3"/>
  <c r="L304" i="3"/>
  <c r="L451" i="3"/>
  <c r="M62" i="3"/>
  <c r="M63" i="3" s="1"/>
  <c r="M320" i="3"/>
  <c r="M445" i="3"/>
  <c r="Y270" i="3"/>
  <c r="Y470" i="3"/>
  <c r="Y429" i="3"/>
  <c r="Y398" i="3"/>
  <c r="Y364" i="3"/>
  <c r="Y271" i="3"/>
  <c r="Y471" i="3"/>
  <c r="Y430" i="3"/>
  <c r="Y399" i="3"/>
  <c r="Y365" i="3"/>
  <c r="Z272" i="3"/>
  <c r="Z472" i="3"/>
  <c r="Z431" i="3"/>
  <c r="Z400" i="3"/>
  <c r="Z366" i="3"/>
  <c r="X279" i="3"/>
  <c r="X12" i="3" s="1"/>
  <c r="AW135" i="11" s="1"/>
  <c r="O252" i="3"/>
  <c r="Z126" i="3"/>
  <c r="Z174" i="3"/>
  <c r="Z86" i="3"/>
  <c r="Z46" i="3"/>
  <c r="Z315" i="3"/>
  <c r="Z289" i="3"/>
  <c r="Y172" i="3"/>
  <c r="Y44" i="3"/>
  <c r="Y287" i="3"/>
  <c r="Y84" i="3"/>
  <c r="Y313" i="3"/>
  <c r="Y124" i="3"/>
  <c r="Y173" i="3"/>
  <c r="Y288" i="3"/>
  <c r="Y125" i="3"/>
  <c r="Y45" i="3"/>
  <c r="Y85" i="3"/>
  <c r="Y314" i="3"/>
  <c r="P213" i="3"/>
  <c r="P216" i="3" s="1"/>
  <c r="Q180" i="3"/>
  <c r="P264" i="3"/>
  <c r="X141" i="3"/>
  <c r="X142" i="3" s="1"/>
  <c r="X143" i="3" s="1"/>
  <c r="Y241" i="3"/>
  <c r="Y244" i="3" s="1"/>
  <c r="Y251" i="3" s="1"/>
  <c r="Y234" i="3"/>
  <c r="Y237" i="3" s="1"/>
  <c r="Y250" i="3" s="1"/>
  <c r="Y20" i="3" s="1"/>
  <c r="AX138" i="11" s="1"/>
  <c r="Y227" i="3"/>
  <c r="Y230" i="3" s="1"/>
  <c r="Y249" i="3" s="1"/>
  <c r="Z192" i="3"/>
  <c r="AA190" i="3" s="1"/>
  <c r="Z226" i="3"/>
  <c r="Z233" i="3"/>
  <c r="Z197" i="3"/>
  <c r="AA195" i="3" s="1"/>
  <c r="Z202" i="3"/>
  <c r="AA200" i="3" s="1"/>
  <c r="Z240" i="3"/>
  <c r="Q151" i="3"/>
  <c r="AP21" i="11" s="1"/>
  <c r="Q159" i="3"/>
  <c r="Q132" i="3"/>
  <c r="R129" i="3" s="1"/>
  <c r="Z9" i="1"/>
  <c r="AA7" i="3" s="1"/>
  <c r="AA502" i="3" s="1"/>
  <c r="Y8" i="1"/>
  <c r="Z6" i="3" s="1"/>
  <c r="Z501" i="3" s="1"/>
  <c r="Y7" i="1"/>
  <c r="Z5" i="3" s="1"/>
  <c r="Z500" i="3" s="1"/>
  <c r="AK140" i="11" l="1"/>
  <c r="L22" i="3"/>
  <c r="L335" i="3" s="1"/>
  <c r="N148" i="3"/>
  <c r="AM80" i="11" s="1"/>
  <c r="L513" i="3"/>
  <c r="L515" i="3" s="1"/>
  <c r="H524" i="3"/>
  <c r="H527" i="3" s="1"/>
  <c r="AG152" i="11" s="1"/>
  <c r="AM78" i="11"/>
  <c r="N147" i="3"/>
  <c r="N154" i="3"/>
  <c r="N162" i="3"/>
  <c r="N163" i="3" s="1"/>
  <c r="N292" i="3" s="1"/>
  <c r="AW74" i="11"/>
  <c r="X508" i="3"/>
  <c r="L516" i="3"/>
  <c r="K95" i="3"/>
  <c r="L422" i="3"/>
  <c r="L418" i="3"/>
  <c r="L419" i="3" s="1"/>
  <c r="L423" i="3" s="1"/>
  <c r="M281" i="3"/>
  <c r="M296" i="3"/>
  <c r="M298" i="3" s="1"/>
  <c r="M301" i="3" s="1"/>
  <c r="M306" i="3" s="1"/>
  <c r="L105" i="3"/>
  <c r="M156" i="3"/>
  <c r="AL12" i="11" s="1"/>
  <c r="M10" i="3"/>
  <c r="M371" i="3"/>
  <c r="M381" i="3" s="1"/>
  <c r="M91" i="3" s="1"/>
  <c r="AL11" i="11"/>
  <c r="M166" i="3"/>
  <c r="AL136" i="11"/>
  <c r="X207" i="3"/>
  <c r="AW144" i="11" s="1"/>
  <c r="M404" i="3"/>
  <c r="N153" i="3"/>
  <c r="AM23" i="11" s="1"/>
  <c r="AM22" i="11"/>
  <c r="L27" i="3"/>
  <c r="L455" i="3"/>
  <c r="L456" i="3" s="1"/>
  <c r="L54" i="3"/>
  <c r="L392" i="3"/>
  <c r="M446" i="3"/>
  <c r="O137" i="3"/>
  <c r="O510" i="3" s="1"/>
  <c r="AN75" i="11"/>
  <c r="M303" i="3"/>
  <c r="M21" i="3" s="1"/>
  <c r="AL139" i="11" s="1"/>
  <c r="M384" i="3"/>
  <c r="M450" i="3"/>
  <c r="O383" i="3"/>
  <c r="O389" i="3" s="1"/>
  <c r="O55" i="3" s="1"/>
  <c r="Z270" i="3"/>
  <c r="Z398" i="3"/>
  <c r="Z364" i="3"/>
  <c r="Z470" i="3"/>
  <c r="Z429" i="3"/>
  <c r="Z271" i="3"/>
  <c r="Z365" i="3"/>
  <c r="Z471" i="3"/>
  <c r="Z399" i="3"/>
  <c r="Z430" i="3"/>
  <c r="AA272" i="3"/>
  <c r="AA472" i="3"/>
  <c r="AA431" i="3"/>
  <c r="AA400" i="3"/>
  <c r="AA366" i="3"/>
  <c r="O263" i="3"/>
  <c r="O295" i="3"/>
  <c r="Y279" i="3"/>
  <c r="Y12" i="3" s="1"/>
  <c r="AX135" i="11" s="1"/>
  <c r="O258" i="3"/>
  <c r="Q182" i="3"/>
  <c r="Q213" i="3" s="1"/>
  <c r="Q216" i="3" s="1"/>
  <c r="Q212" i="3"/>
  <c r="P247" i="3"/>
  <c r="Z173" i="3"/>
  <c r="Z288" i="3"/>
  <c r="Z314" i="3"/>
  <c r="Z85" i="3"/>
  <c r="Z45" i="3"/>
  <c r="Z125" i="3"/>
  <c r="Z172" i="3"/>
  <c r="Z313" i="3"/>
  <c r="Z44" i="3"/>
  <c r="Z287" i="3"/>
  <c r="Z84" i="3"/>
  <c r="Z124" i="3"/>
  <c r="AA126" i="3"/>
  <c r="AA174" i="3"/>
  <c r="AA315" i="3"/>
  <c r="AA289" i="3"/>
  <c r="AA86" i="3"/>
  <c r="AA46" i="3"/>
  <c r="Y141" i="3"/>
  <c r="Y142" i="3" s="1"/>
  <c r="Y143" i="3" s="1"/>
  <c r="Z227" i="3"/>
  <c r="Z230" i="3" s="1"/>
  <c r="Z249" i="3" s="1"/>
  <c r="AA202" i="3"/>
  <c r="AB200" i="3" s="1"/>
  <c r="AA240" i="3"/>
  <c r="Z234" i="3"/>
  <c r="Z237" i="3" s="1"/>
  <c r="Z250" i="3" s="1"/>
  <c r="Z20" i="3" s="1"/>
  <c r="AY138" i="11" s="1"/>
  <c r="AA197" i="3"/>
  <c r="AB195" i="3" s="1"/>
  <c r="AA233" i="3"/>
  <c r="Z241" i="3"/>
  <c r="Z244" i="3" s="1"/>
  <c r="Z251" i="3" s="1"/>
  <c r="AA192" i="3"/>
  <c r="AB190" i="3" s="1"/>
  <c r="AA226" i="3"/>
  <c r="R131" i="3"/>
  <c r="R136" i="3" s="1"/>
  <c r="AA9" i="1"/>
  <c r="AB7" i="3" s="1"/>
  <c r="AB502" i="3" s="1"/>
  <c r="Z7" i="1"/>
  <c r="AA5" i="3" s="1"/>
  <c r="AA500" i="3" s="1"/>
  <c r="Z8" i="1"/>
  <c r="AA6" i="3" s="1"/>
  <c r="AA501" i="3" s="1"/>
  <c r="M14" i="3" l="1"/>
  <c r="M16" i="3" s="1"/>
  <c r="AK141" i="11"/>
  <c r="L24" i="3"/>
  <c r="AK142" i="11" s="1"/>
  <c r="H526" i="3"/>
  <c r="AG151" i="11" s="1"/>
  <c r="M372" i="3"/>
  <c r="M382" i="3" s="1"/>
  <c r="M102" i="3" s="1"/>
  <c r="AQ76" i="11"/>
  <c r="AF87" i="11" s="1"/>
  <c r="R506" i="3"/>
  <c r="AX74" i="11"/>
  <c r="Y508" i="3"/>
  <c r="M302" i="3"/>
  <c r="M387" i="3"/>
  <c r="M53" i="3" s="1"/>
  <c r="O158" i="3"/>
  <c r="Y205" i="3"/>
  <c r="X255" i="3"/>
  <c r="N435" i="3"/>
  <c r="N441" i="3" s="1"/>
  <c r="N62" i="3" s="1"/>
  <c r="N63" i="3" s="1"/>
  <c r="AM143" i="11"/>
  <c r="AM146" i="11" s="1"/>
  <c r="M411" i="3"/>
  <c r="M417" i="3"/>
  <c r="M412" i="3"/>
  <c r="N260" i="3"/>
  <c r="N275" i="3"/>
  <c r="N280" i="3" s="1"/>
  <c r="N13" i="3" s="1"/>
  <c r="AM136" i="11" s="1"/>
  <c r="N164" i="3"/>
  <c r="AM14" i="11" s="1"/>
  <c r="AM13" i="11"/>
  <c r="N155" i="3"/>
  <c r="AM11" i="11" s="1"/>
  <c r="M307" i="3"/>
  <c r="O103" i="3"/>
  <c r="AN77" i="11"/>
  <c r="O146" i="3"/>
  <c r="AN79" i="11" s="1"/>
  <c r="O152" i="3"/>
  <c r="O160" i="3"/>
  <c r="O161" i="3" s="1"/>
  <c r="M451" i="3"/>
  <c r="L460" i="3"/>
  <c r="L461" i="3" s="1"/>
  <c r="L95" i="3" s="1"/>
  <c r="M454" i="3"/>
  <c r="N444" i="3"/>
  <c r="M459" i="3"/>
  <c r="L51" i="3"/>
  <c r="L28" i="3"/>
  <c r="N297" i="3"/>
  <c r="N296" i="3"/>
  <c r="M390" i="3"/>
  <c r="M56" i="3" s="1"/>
  <c r="M92" i="3"/>
  <c r="M304" i="3"/>
  <c r="M305" i="3"/>
  <c r="O138" i="3"/>
  <c r="P135" i="3" s="1"/>
  <c r="AB272" i="3"/>
  <c r="AB472" i="3"/>
  <c r="AB431" i="3"/>
  <c r="AB400" i="3"/>
  <c r="AB366" i="3"/>
  <c r="AA270" i="3"/>
  <c r="AA470" i="3"/>
  <c r="AA398" i="3"/>
  <c r="AA429" i="3"/>
  <c r="AA364" i="3"/>
  <c r="AA271" i="3"/>
  <c r="AA365" i="3"/>
  <c r="AA471" i="3"/>
  <c r="AA430" i="3"/>
  <c r="AA399" i="3"/>
  <c r="Z279" i="3"/>
  <c r="Z12" i="3" s="1"/>
  <c r="AY135" i="11" s="1"/>
  <c r="O259" i="3"/>
  <c r="P252" i="3"/>
  <c r="Q247" i="3"/>
  <c r="AA172" i="3"/>
  <c r="AA313" i="3"/>
  <c r="AA287" i="3"/>
  <c r="AA84" i="3"/>
  <c r="AA124" i="3"/>
  <c r="AA44" i="3"/>
  <c r="AA173" i="3"/>
  <c r="AA314" i="3"/>
  <c r="AA85" i="3"/>
  <c r="AA45" i="3"/>
  <c r="AA288" i="3"/>
  <c r="AA125" i="3"/>
  <c r="AB126" i="3"/>
  <c r="AB86" i="3"/>
  <c r="AB46" i="3"/>
  <c r="AB315" i="3"/>
  <c r="AB289" i="3"/>
  <c r="AB174" i="3"/>
  <c r="R180" i="3"/>
  <c r="Q264" i="3"/>
  <c r="AA234" i="3"/>
  <c r="AA237" i="3" s="1"/>
  <c r="AA250" i="3" s="1"/>
  <c r="AA20" i="3" s="1"/>
  <c r="AZ138" i="11" s="1"/>
  <c r="Z141" i="3"/>
  <c r="Z142" i="3" s="1"/>
  <c r="Z143" i="3" s="1"/>
  <c r="AA227" i="3"/>
  <c r="AA230" i="3" s="1"/>
  <c r="AA249" i="3" s="1"/>
  <c r="AA241" i="3"/>
  <c r="AA244" i="3" s="1"/>
  <c r="AA251" i="3" s="1"/>
  <c r="R132" i="3"/>
  <c r="S129" i="3" s="1"/>
  <c r="AB192" i="3"/>
  <c r="AC190" i="3" s="1"/>
  <c r="AB226" i="3"/>
  <c r="AB233" i="3"/>
  <c r="AB197" i="3"/>
  <c r="AC195" i="3" s="1"/>
  <c r="AB202" i="3"/>
  <c r="AC200" i="3" s="1"/>
  <c r="AB240" i="3"/>
  <c r="R159" i="3"/>
  <c r="R151" i="3"/>
  <c r="AQ21" i="11" s="1"/>
  <c r="AB9" i="1"/>
  <c r="AC7" i="3" s="1"/>
  <c r="AC502" i="3" s="1"/>
  <c r="AA7" i="1"/>
  <c r="AB5" i="3" s="1"/>
  <c r="AB500" i="3" s="1"/>
  <c r="AA8" i="1"/>
  <c r="AB6" i="3" s="1"/>
  <c r="AB501" i="3" s="1"/>
  <c r="M509" i="3" l="1"/>
  <c r="M514" i="3" s="1"/>
  <c r="AL140" i="11"/>
  <c r="M388" i="3"/>
  <c r="M392" i="3" s="1"/>
  <c r="M19" i="3"/>
  <c r="AL137" i="11" s="1"/>
  <c r="M507" i="3"/>
  <c r="AY74" i="11"/>
  <c r="Z508" i="3"/>
  <c r="S131" i="3"/>
  <c r="S136" i="3" s="1"/>
  <c r="L464" i="3"/>
  <c r="N445" i="3"/>
  <c r="N446" i="3" s="1"/>
  <c r="N320" i="3"/>
  <c r="N10" i="3"/>
  <c r="N14" i="3" s="1"/>
  <c r="N371" i="3"/>
  <c r="N381" i="3" s="1"/>
  <c r="N387" i="3" s="1"/>
  <c r="N53" i="3" s="1"/>
  <c r="N166" i="3"/>
  <c r="N410" i="3"/>
  <c r="M414" i="3"/>
  <c r="M422" i="3" s="1"/>
  <c r="M104" i="3"/>
  <c r="M105" i="3" s="1"/>
  <c r="N281" i="3"/>
  <c r="AW145" i="11"/>
  <c r="X257" i="3"/>
  <c r="Y207" i="3"/>
  <c r="AX144" i="11" s="1"/>
  <c r="N156" i="3"/>
  <c r="AM12" i="11" s="1"/>
  <c r="N404" i="3"/>
  <c r="O150" i="3"/>
  <c r="O153" i="3"/>
  <c r="AN23" i="11" s="1"/>
  <c r="AN22" i="11"/>
  <c r="N372" i="3"/>
  <c r="N382" i="3" s="1"/>
  <c r="N102" i="3" s="1"/>
  <c r="AN78" i="11"/>
  <c r="O162" i="3"/>
  <c r="O163" i="3" s="1"/>
  <c r="AN143" i="11" s="1"/>
  <c r="AN146" i="11" s="1"/>
  <c r="O147" i="3"/>
  <c r="O154" i="3"/>
  <c r="O148" i="3"/>
  <c r="AN80" i="11" s="1"/>
  <c r="M27" i="3"/>
  <c r="M51" i="3" s="1"/>
  <c r="M455" i="3"/>
  <c r="M456" i="3" s="1"/>
  <c r="N302" i="3"/>
  <c r="N298" i="3"/>
  <c r="N301" i="3" s="1"/>
  <c r="N306" i="3" s="1"/>
  <c r="N303" i="3"/>
  <c r="N21" i="3" s="1"/>
  <c r="AM139" i="11" s="1"/>
  <c r="N384" i="3"/>
  <c r="P383" i="3"/>
  <c r="P103" i="3" s="1"/>
  <c r="AB271" i="3"/>
  <c r="AB471" i="3"/>
  <c r="AB430" i="3"/>
  <c r="AB399" i="3"/>
  <c r="AB365" i="3"/>
  <c r="AB270" i="3"/>
  <c r="AB470" i="3"/>
  <c r="AB429" i="3"/>
  <c r="AB364" i="3"/>
  <c r="AB398" i="3"/>
  <c r="AC272" i="3"/>
  <c r="AC472" i="3"/>
  <c r="AC431" i="3"/>
  <c r="AC400" i="3"/>
  <c r="AC366" i="3"/>
  <c r="P263" i="3"/>
  <c r="P295" i="3"/>
  <c r="AA279" i="3"/>
  <c r="AA12" i="3" s="1"/>
  <c r="AZ135" i="11" s="1"/>
  <c r="P258" i="3"/>
  <c r="Q252" i="3"/>
  <c r="AC126" i="3"/>
  <c r="AC86" i="3"/>
  <c r="AC289" i="3"/>
  <c r="AC174" i="3"/>
  <c r="AC46" i="3"/>
  <c r="AC315" i="3"/>
  <c r="AB172" i="3"/>
  <c r="AB287" i="3"/>
  <c r="AB124" i="3"/>
  <c r="AB84" i="3"/>
  <c r="AB44" i="3"/>
  <c r="AB313" i="3"/>
  <c r="AB173" i="3"/>
  <c r="AB314" i="3"/>
  <c r="AB45" i="3"/>
  <c r="AB288" i="3"/>
  <c r="AB125" i="3"/>
  <c r="AB85" i="3"/>
  <c r="R182" i="3"/>
  <c r="R213" i="3" s="1"/>
  <c r="R216" i="3" s="1"/>
  <c r="R212" i="3"/>
  <c r="AB227" i="3"/>
  <c r="AB230" i="3" s="1"/>
  <c r="AB249" i="3" s="1"/>
  <c r="AA141" i="3"/>
  <c r="AA142" i="3" s="1"/>
  <c r="AB241" i="3"/>
  <c r="AB244" i="3" s="1"/>
  <c r="AB251" i="3" s="1"/>
  <c r="AB234" i="3"/>
  <c r="AB237" i="3" s="1"/>
  <c r="AB250" i="3" s="1"/>
  <c r="AB20" i="3" s="1"/>
  <c r="BA138" i="11" s="1"/>
  <c r="AC202" i="3"/>
  <c r="AD200" i="3" s="1"/>
  <c r="AC240" i="3"/>
  <c r="AC192" i="3"/>
  <c r="AD190" i="3" s="1"/>
  <c r="AC226" i="3"/>
  <c r="AC197" i="3"/>
  <c r="AD195" i="3" s="1"/>
  <c r="AC233" i="3"/>
  <c r="AC9" i="1"/>
  <c r="AD7" i="3" s="1"/>
  <c r="AD502" i="3" s="1"/>
  <c r="AB7" i="1"/>
  <c r="AC5" i="3" s="1"/>
  <c r="AC500" i="3" s="1"/>
  <c r="AB8" i="1"/>
  <c r="AC6" i="3" s="1"/>
  <c r="AC501" i="3" s="1"/>
  <c r="M54" i="3" l="1"/>
  <c r="M22" i="3"/>
  <c r="AL141" i="11" s="1"/>
  <c r="N16" i="3"/>
  <c r="N509" i="3" s="1"/>
  <c r="N514" i="3" s="1"/>
  <c r="M513" i="3"/>
  <c r="M515" i="3" s="1"/>
  <c r="AR76" i="11"/>
  <c r="S506" i="3"/>
  <c r="N19" i="3"/>
  <c r="AM137" i="11" s="1"/>
  <c r="N507" i="3"/>
  <c r="N513" i="3" s="1"/>
  <c r="S159" i="3"/>
  <c r="M516" i="3"/>
  <c r="S151" i="3"/>
  <c r="AR21" i="11" s="1"/>
  <c r="S132" i="3"/>
  <c r="T129" i="3" s="1"/>
  <c r="T131" i="3" s="1"/>
  <c r="N459" i="3"/>
  <c r="N454" i="3"/>
  <c r="N450" i="3"/>
  <c r="N451" i="3" s="1"/>
  <c r="N455" i="3" s="1"/>
  <c r="P389" i="3"/>
  <c r="P55" i="3" s="1"/>
  <c r="N91" i="3"/>
  <c r="O444" i="3"/>
  <c r="Z205" i="3"/>
  <c r="Y255" i="3"/>
  <c r="M57" i="3"/>
  <c r="M418" i="3"/>
  <c r="M419" i="3" s="1"/>
  <c r="M423" i="3" s="1"/>
  <c r="N388" i="3"/>
  <c r="N54" i="3" s="1"/>
  <c r="N411" i="3"/>
  <c r="N412" i="3"/>
  <c r="N417" i="3"/>
  <c r="O155" i="3"/>
  <c r="O166" i="3" s="1"/>
  <c r="N304" i="3"/>
  <c r="N305" i="3"/>
  <c r="M460" i="3"/>
  <c r="M461" i="3" s="1"/>
  <c r="M95" i="3" s="1"/>
  <c r="N92" i="3"/>
  <c r="N390" i="3"/>
  <c r="N56" i="3" s="1"/>
  <c r="AO75" i="11"/>
  <c r="P137" i="3"/>
  <c r="N307" i="3"/>
  <c r="O435" i="3"/>
  <c r="O441" i="3" s="1"/>
  <c r="O292" i="3"/>
  <c r="AN13" i="11"/>
  <c r="O275" i="3"/>
  <c r="O280" i="3" s="1"/>
  <c r="O164" i="3"/>
  <c r="AN14" i="11" s="1"/>
  <c r="P158" i="3"/>
  <c r="O260" i="3"/>
  <c r="Q383" i="3"/>
  <c r="Q389" i="3" s="1"/>
  <c r="Q55" i="3" s="1"/>
  <c r="AC271" i="3"/>
  <c r="AC471" i="3"/>
  <c r="AC430" i="3"/>
  <c r="AC399" i="3"/>
  <c r="AC365" i="3"/>
  <c r="AD272" i="3"/>
  <c r="AD472" i="3"/>
  <c r="AD431" i="3"/>
  <c r="AD400" i="3"/>
  <c r="AD366" i="3"/>
  <c r="AC270" i="3"/>
  <c r="AC470" i="3"/>
  <c r="AC429" i="3"/>
  <c r="AC398" i="3"/>
  <c r="AC364" i="3"/>
  <c r="Q263" i="3"/>
  <c r="Q295" i="3"/>
  <c r="Q258" i="3"/>
  <c r="Q259" i="3" s="1"/>
  <c r="P259" i="3"/>
  <c r="AB279" i="3"/>
  <c r="AB12" i="3" s="1"/>
  <c r="BA135" i="11" s="1"/>
  <c r="R247" i="3"/>
  <c r="AD126" i="3"/>
  <c r="AD315" i="3"/>
  <c r="AD86" i="3"/>
  <c r="AD289" i="3"/>
  <c r="AD174" i="3"/>
  <c r="AD46" i="3"/>
  <c r="AC124" i="3"/>
  <c r="AC313" i="3"/>
  <c r="AC84" i="3"/>
  <c r="AC172" i="3"/>
  <c r="AC44" i="3"/>
  <c r="AC287" i="3"/>
  <c r="R264" i="3"/>
  <c r="S180" i="3"/>
  <c r="AC173" i="3"/>
  <c r="AC125" i="3"/>
  <c r="AC314" i="3"/>
  <c r="AC85" i="3"/>
  <c r="AC45" i="3"/>
  <c r="AC288" i="3"/>
  <c r="AC234" i="3"/>
  <c r="AC237" i="3" s="1"/>
  <c r="AC250" i="3" s="1"/>
  <c r="AC20" i="3" s="1"/>
  <c r="BB138" i="11" s="1"/>
  <c r="AC241" i="3"/>
  <c r="AC244" i="3" s="1"/>
  <c r="AC251" i="3" s="1"/>
  <c r="AD192" i="3"/>
  <c r="AD227" i="3" s="1"/>
  <c r="AD230" i="3" s="1"/>
  <c r="AD249" i="3" s="1"/>
  <c r="AD226" i="3"/>
  <c r="AD202" i="3"/>
  <c r="AD241" i="3" s="1"/>
  <c r="AD244" i="3" s="1"/>
  <c r="AD251" i="3" s="1"/>
  <c r="AD240" i="3"/>
  <c r="AC227" i="3"/>
  <c r="AC230" i="3" s="1"/>
  <c r="AC249" i="3" s="1"/>
  <c r="AD197" i="3"/>
  <c r="AD234" i="3" s="1"/>
  <c r="AD237" i="3" s="1"/>
  <c r="AD250" i="3" s="1"/>
  <c r="AD20" i="3" s="1"/>
  <c r="AD233" i="3"/>
  <c r="AA143" i="3"/>
  <c r="AC7" i="1"/>
  <c r="AD5" i="3" s="1"/>
  <c r="AD500" i="3" s="1"/>
  <c r="AC8" i="1"/>
  <c r="AD6" i="3" s="1"/>
  <c r="AD501" i="3" s="1"/>
  <c r="M28" i="3" l="1"/>
  <c r="M335" i="3"/>
  <c r="M24" i="3"/>
  <c r="AL142" i="11" s="1"/>
  <c r="AM140" i="11"/>
  <c r="N22" i="3"/>
  <c r="AM141" i="11" s="1"/>
  <c r="N516" i="3"/>
  <c r="AZ74" i="11"/>
  <c r="AA508" i="3"/>
  <c r="P138" i="3"/>
  <c r="Q135" i="3" s="1"/>
  <c r="P510" i="3"/>
  <c r="N515" i="3"/>
  <c r="T136" i="3"/>
  <c r="T506" i="3" s="1"/>
  <c r="T132" i="3"/>
  <c r="U129" i="3" s="1"/>
  <c r="M464" i="3"/>
  <c r="N456" i="3"/>
  <c r="BC138" i="11"/>
  <c r="L302" i="11"/>
  <c r="O156" i="3"/>
  <c r="AN12" i="11" s="1"/>
  <c r="AN11" i="11"/>
  <c r="P150" i="3"/>
  <c r="O10" i="3"/>
  <c r="O404" i="3"/>
  <c r="O411" i="3" s="1"/>
  <c r="Y257" i="3"/>
  <c r="AX145" i="11"/>
  <c r="O371" i="3"/>
  <c r="O381" i="3" s="1"/>
  <c r="O91" i="3" s="1"/>
  <c r="Z207" i="3"/>
  <c r="AY144" i="11" s="1"/>
  <c r="N392" i="3"/>
  <c r="N414" i="3"/>
  <c r="N422" i="3" s="1"/>
  <c r="N104" i="3"/>
  <c r="N105" i="3" s="1"/>
  <c r="O410" i="3"/>
  <c r="O13" i="3"/>
  <c r="O281" i="3"/>
  <c r="AO77" i="11"/>
  <c r="P152" i="3"/>
  <c r="P160" i="3"/>
  <c r="P161" i="3" s="1"/>
  <c r="P146" i="3"/>
  <c r="AO79" i="11" s="1"/>
  <c r="O297" i="3"/>
  <c r="O296" i="3"/>
  <c r="O320" i="3"/>
  <c r="O445" i="3"/>
  <c r="O62" i="3"/>
  <c r="O63" i="3" s="1"/>
  <c r="N27" i="3"/>
  <c r="Q103" i="3"/>
  <c r="AD271" i="3"/>
  <c r="AD471" i="3"/>
  <c r="AD430" i="3"/>
  <c r="AD399" i="3"/>
  <c r="AD365" i="3"/>
  <c r="AD270" i="3"/>
  <c r="AD470" i="3"/>
  <c r="AD429" i="3"/>
  <c r="AD398" i="3"/>
  <c r="AD364" i="3"/>
  <c r="AD279" i="3"/>
  <c r="AD12" i="3" s="1"/>
  <c r="BC135" i="11" s="1"/>
  <c r="AC279" i="3"/>
  <c r="AC12" i="3" s="1"/>
  <c r="BB135" i="11" s="1"/>
  <c r="R252" i="3"/>
  <c r="AD124" i="3"/>
  <c r="AD287" i="3"/>
  <c r="AD84" i="3"/>
  <c r="AD44" i="3"/>
  <c r="AD172" i="3"/>
  <c r="AD313" i="3"/>
  <c r="S212" i="3"/>
  <c r="S182" i="3"/>
  <c r="S213" i="3" s="1"/>
  <c r="S216" i="3" s="1"/>
  <c r="AD125" i="3"/>
  <c r="AD288" i="3"/>
  <c r="AD85" i="3"/>
  <c r="AD173" i="3"/>
  <c r="AD45" i="3"/>
  <c r="AD314" i="3"/>
  <c r="AB141" i="3"/>
  <c r="AB142" i="3" s="1"/>
  <c r="N335" i="3" l="1"/>
  <c r="N24" i="3"/>
  <c r="AM142" i="11" s="1"/>
  <c r="P148" i="3"/>
  <c r="AO80" i="11" s="1"/>
  <c r="P154" i="3"/>
  <c r="P162" i="3"/>
  <c r="P163" i="3" s="1"/>
  <c r="AO143" i="11" s="1"/>
  <c r="AO146" i="11" s="1"/>
  <c r="P147" i="3"/>
  <c r="AO78" i="11"/>
  <c r="AS76" i="11"/>
  <c r="T151" i="3"/>
  <c r="AS21" i="11" s="1"/>
  <c r="T159" i="3"/>
  <c r="N460" i="3"/>
  <c r="O412" i="3"/>
  <c r="O104" i="3" s="1"/>
  <c r="O417" i="3"/>
  <c r="O14" i="3"/>
  <c r="AN136" i="11"/>
  <c r="AA205" i="3"/>
  <c r="Z255" i="3"/>
  <c r="O387" i="3"/>
  <c r="O53" i="3" s="1"/>
  <c r="N57" i="3"/>
  <c r="N418" i="3"/>
  <c r="N419" i="3" s="1"/>
  <c r="N423" i="3" s="1"/>
  <c r="P153" i="3"/>
  <c r="AO23" i="11" s="1"/>
  <c r="AO22" i="11"/>
  <c r="O384" i="3"/>
  <c r="O303" i="3"/>
  <c r="O21" i="3" s="1"/>
  <c r="AN139" i="11" s="1"/>
  <c r="O446" i="3"/>
  <c r="O450" i="3"/>
  <c r="O302" i="3"/>
  <c r="O298" i="3"/>
  <c r="O301" i="3" s="1"/>
  <c r="O307" i="3" s="1"/>
  <c r="O454" i="3"/>
  <c r="N51" i="3"/>
  <c r="N28" i="3"/>
  <c r="O372" i="3"/>
  <c r="O382" i="3" s="1"/>
  <c r="AP75" i="11"/>
  <c r="Q137" i="3"/>
  <c r="R383" i="3"/>
  <c r="R389" i="3" s="1"/>
  <c r="R55" i="3" s="1"/>
  <c r="R263" i="3"/>
  <c r="R295" i="3"/>
  <c r="R258" i="3"/>
  <c r="T180" i="3"/>
  <c r="S264" i="3"/>
  <c r="S247" i="3"/>
  <c r="AB143" i="3"/>
  <c r="O16" i="3" l="1"/>
  <c r="AN140" i="11" s="1"/>
  <c r="I523" i="3"/>
  <c r="I525" i="3" s="1"/>
  <c r="O19" i="3"/>
  <c r="AN137" i="11" s="1"/>
  <c r="O507" i="3"/>
  <c r="Q138" i="3"/>
  <c r="R135" i="3" s="1"/>
  <c r="Q510" i="3"/>
  <c r="BA74" i="11"/>
  <c r="AB508" i="3"/>
  <c r="O414" i="3"/>
  <c r="O422" i="3" s="1"/>
  <c r="U131" i="3"/>
  <c r="U136" i="3" s="1"/>
  <c r="U506" i="3" s="1"/>
  <c r="P410" i="3"/>
  <c r="N461" i="3"/>
  <c r="N464" i="3" s="1"/>
  <c r="P275" i="3"/>
  <c r="P280" i="3" s="1"/>
  <c r="P13" i="3" s="1"/>
  <c r="Q158" i="3"/>
  <c r="P292" i="3"/>
  <c r="P296" i="3" s="1"/>
  <c r="AO13" i="11"/>
  <c r="P164" i="3"/>
  <c r="AO14" i="11" s="1"/>
  <c r="P435" i="3"/>
  <c r="P441" i="3" s="1"/>
  <c r="P320" i="3" s="1"/>
  <c r="P260" i="3"/>
  <c r="P155" i="3"/>
  <c r="P10" i="3" s="1"/>
  <c r="Z257" i="3"/>
  <c r="AY145" i="11"/>
  <c r="AA207" i="3"/>
  <c r="AZ144" i="11" s="1"/>
  <c r="R103" i="3"/>
  <c r="O306" i="3"/>
  <c r="O305" i="3"/>
  <c r="O304" i="3"/>
  <c r="O102" i="3"/>
  <c r="O105" i="3" s="1"/>
  <c r="O388" i="3"/>
  <c r="O451" i="3"/>
  <c r="AP77" i="11"/>
  <c r="Q146" i="3"/>
  <c r="AP79" i="11" s="1"/>
  <c r="Q160" i="3"/>
  <c r="Q161" i="3" s="1"/>
  <c r="Q152" i="3"/>
  <c r="O92" i="3"/>
  <c r="O390" i="3"/>
  <c r="O56" i="3" s="1"/>
  <c r="P444" i="3"/>
  <c r="O459" i="3"/>
  <c r="R259" i="3"/>
  <c r="S252" i="3"/>
  <c r="T212" i="3"/>
  <c r="T182" i="3"/>
  <c r="AC141" i="3"/>
  <c r="AC142" i="3" s="1"/>
  <c r="AC143" i="3" s="1"/>
  <c r="Q154" i="3" l="1"/>
  <c r="Q162" i="3"/>
  <c r="Q163" i="3" s="1"/>
  <c r="AP143" i="11" s="1"/>
  <c r="AP146" i="11" s="1"/>
  <c r="O509" i="3"/>
  <c r="O514" i="3" s="1"/>
  <c r="O22" i="3"/>
  <c r="O335" i="3" s="1"/>
  <c r="P297" i="3"/>
  <c r="P298" i="3" s="1"/>
  <c r="P301" i="3" s="1"/>
  <c r="P306" i="3" s="1"/>
  <c r="Q147" i="3"/>
  <c r="O513" i="3"/>
  <c r="I524" i="3"/>
  <c r="I527" i="3" s="1"/>
  <c r="AH152" i="11" s="1"/>
  <c r="BB74" i="11"/>
  <c r="AC508" i="3"/>
  <c r="O418" i="3"/>
  <c r="O419" i="3" s="1"/>
  <c r="O423" i="3" s="1"/>
  <c r="O57" i="3"/>
  <c r="Q148" i="3"/>
  <c r="AP80" i="11" s="1"/>
  <c r="AP78" i="11"/>
  <c r="AT76" i="11"/>
  <c r="U159" i="3"/>
  <c r="U151" i="3"/>
  <c r="AT21" i="11" s="1"/>
  <c r="U132" i="3"/>
  <c r="V129" i="3" s="1"/>
  <c r="N95" i="3"/>
  <c r="P281" i="3"/>
  <c r="AO11" i="11"/>
  <c r="P166" i="3"/>
  <c r="P371" i="3"/>
  <c r="P381" i="3" s="1"/>
  <c r="P387" i="3" s="1"/>
  <c r="P53" i="3" s="1"/>
  <c r="P62" i="3"/>
  <c r="P63" i="3" s="1"/>
  <c r="P445" i="3"/>
  <c r="P446" i="3" s="1"/>
  <c r="P404" i="3"/>
  <c r="Q150" i="3"/>
  <c r="P156" i="3"/>
  <c r="AO12" i="11" s="1"/>
  <c r="P14" i="3"/>
  <c r="AO136" i="11"/>
  <c r="AB205" i="3"/>
  <c r="AA255" i="3"/>
  <c r="Q153" i="3"/>
  <c r="AP23" i="11" s="1"/>
  <c r="AP22" i="11"/>
  <c r="AQ75" i="11"/>
  <c r="R137" i="3"/>
  <c r="P302" i="3"/>
  <c r="O27" i="3"/>
  <c r="O455" i="3"/>
  <c r="O456" i="3" s="1"/>
  <c r="O54" i="3"/>
  <c r="O392" i="3"/>
  <c r="S258" i="3"/>
  <c r="S259" i="3" s="1"/>
  <c r="S383" i="3"/>
  <c r="S263" i="3"/>
  <c r="S295" i="3"/>
  <c r="T213" i="3"/>
  <c r="T216" i="3" s="1"/>
  <c r="T264" i="3"/>
  <c r="U180" i="3"/>
  <c r="AD141" i="3"/>
  <c r="AD142" i="3" s="1"/>
  <c r="AD143" i="3" s="1"/>
  <c r="P372" i="3" l="1"/>
  <c r="P382" i="3" s="1"/>
  <c r="P388" i="3" s="1"/>
  <c r="P54" i="3" s="1"/>
  <c r="O516" i="3"/>
  <c r="O515" i="3"/>
  <c r="P384" i="3"/>
  <c r="P390" i="3" s="1"/>
  <c r="P56" i="3" s="1"/>
  <c r="O24" i="3"/>
  <c r="AN142" i="11" s="1"/>
  <c r="AN141" i="11"/>
  <c r="P303" i="3"/>
  <c r="P21" i="3" s="1"/>
  <c r="AO139" i="11" s="1"/>
  <c r="I526" i="3"/>
  <c r="AH151" i="11" s="1"/>
  <c r="P16" i="3"/>
  <c r="P509" i="3" s="1"/>
  <c r="P514" i="3" s="1"/>
  <c r="BC74" i="11"/>
  <c r="AD508" i="3"/>
  <c r="P19" i="3"/>
  <c r="AO137" i="11" s="1"/>
  <c r="P507" i="3"/>
  <c r="R138" i="3"/>
  <c r="S135" i="3" s="1"/>
  <c r="R510" i="3"/>
  <c r="P450" i="3"/>
  <c r="P451" i="3" s="1"/>
  <c r="Q444" i="3"/>
  <c r="P91" i="3"/>
  <c r="Q155" i="3"/>
  <c r="R150" i="3" s="1"/>
  <c r="P417" i="3"/>
  <c r="P411" i="3"/>
  <c r="P412" i="3"/>
  <c r="Q275" i="3"/>
  <c r="Q280" i="3" s="1"/>
  <c r="Q281" i="3" s="1"/>
  <c r="Q292" i="3"/>
  <c r="Q296" i="3" s="1"/>
  <c r="R158" i="3"/>
  <c r="AP13" i="11"/>
  <c r="Q164" i="3"/>
  <c r="AP14" i="11" s="1"/>
  <c r="Q260" i="3"/>
  <c r="AA257" i="3"/>
  <c r="AZ145" i="11"/>
  <c r="AB207" i="3"/>
  <c r="BA144" i="11" s="1"/>
  <c r="Q435" i="3"/>
  <c r="Q441" i="3" s="1"/>
  <c r="Q320" i="3" s="1"/>
  <c r="P459" i="3"/>
  <c r="AQ77" i="11"/>
  <c r="AF88" i="11" s="1"/>
  <c r="R152" i="3"/>
  <c r="R160" i="3"/>
  <c r="R161" i="3" s="1"/>
  <c r="R146" i="3"/>
  <c r="AQ79" i="11" s="1"/>
  <c r="O51" i="3"/>
  <c r="O28" i="3"/>
  <c r="P454" i="3"/>
  <c r="O460" i="3"/>
  <c r="O461" i="3" s="1"/>
  <c r="O464" i="3" s="1"/>
  <c r="P307" i="3"/>
  <c r="P304" i="3"/>
  <c r="P305" i="3"/>
  <c r="S389" i="3"/>
  <c r="S55" i="3" s="1"/>
  <c r="S103" i="3"/>
  <c r="U212" i="3"/>
  <c r="U182" i="3"/>
  <c r="T247" i="3"/>
  <c r="P92" i="3" l="1"/>
  <c r="P102" i="3"/>
  <c r="Q404" i="3"/>
  <c r="Q411" i="3" s="1"/>
  <c r="Q371" i="3"/>
  <c r="Q381" i="3" s="1"/>
  <c r="Q387" i="3" s="1"/>
  <c r="Q53" i="3" s="1"/>
  <c r="P22" i="3"/>
  <c r="P335" i="3" s="1"/>
  <c r="AO140" i="11"/>
  <c r="P513" i="3"/>
  <c r="P515" i="3" s="1"/>
  <c r="R154" i="3"/>
  <c r="R162" i="3"/>
  <c r="R163" i="3" s="1"/>
  <c r="R147" i="3"/>
  <c r="AQ78" i="11"/>
  <c r="AF89" i="11" s="1"/>
  <c r="R148" i="3"/>
  <c r="AQ80" i="11" s="1"/>
  <c r="Q10" i="3"/>
  <c r="V131" i="3"/>
  <c r="V136" i="3" s="1"/>
  <c r="V506" i="3" s="1"/>
  <c r="O95" i="3"/>
  <c r="Q166" i="3"/>
  <c r="AP11" i="11"/>
  <c r="Q156" i="3"/>
  <c r="AP12" i="11" s="1"/>
  <c r="Q410" i="3"/>
  <c r="P414" i="3"/>
  <c r="P422" i="3" s="1"/>
  <c r="P104" i="3"/>
  <c r="Q13" i="3"/>
  <c r="Q297" i="3"/>
  <c r="Q384" i="3" s="1"/>
  <c r="Q62" i="3"/>
  <c r="Q63" i="3" s="1"/>
  <c r="Q445" i="3"/>
  <c r="Q446" i="3" s="1"/>
  <c r="AC205" i="3"/>
  <c r="AB255" i="3"/>
  <c r="R153" i="3"/>
  <c r="AQ23" i="11" s="1"/>
  <c r="AQ22" i="11"/>
  <c r="S137" i="3"/>
  <c r="S510" i="3" s="1"/>
  <c r="AR75" i="11"/>
  <c r="AG86" i="11" s="1"/>
  <c r="Q302" i="3"/>
  <c r="P27" i="3"/>
  <c r="P455" i="3"/>
  <c r="P456" i="3" s="1"/>
  <c r="P392" i="3"/>
  <c r="T252" i="3"/>
  <c r="U213" i="3"/>
  <c r="U216" i="3" s="1"/>
  <c r="V180" i="3"/>
  <c r="U264" i="3"/>
  <c r="P105" i="3" l="1"/>
  <c r="Q91" i="3"/>
  <c r="Q412" i="3"/>
  <c r="R410" i="3" s="1"/>
  <c r="Q417" i="3"/>
  <c r="P24" i="3"/>
  <c r="AO142" i="11" s="1"/>
  <c r="AO141" i="11"/>
  <c r="P516" i="3"/>
  <c r="Q19" i="3"/>
  <c r="AP137" i="11" s="1"/>
  <c r="Q507" i="3"/>
  <c r="R435" i="3"/>
  <c r="R441" i="3" s="1"/>
  <c r="R62" i="3" s="1"/>
  <c r="AF158" i="11"/>
  <c r="AU76" i="11"/>
  <c r="V159" i="3"/>
  <c r="V151" i="3"/>
  <c r="AU21" i="11" s="1"/>
  <c r="Q14" i="3"/>
  <c r="V132" i="3"/>
  <c r="W129" i="3" s="1"/>
  <c r="R444" i="3"/>
  <c r="S158" i="3"/>
  <c r="R292" i="3"/>
  <c r="R296" i="3" s="1"/>
  <c r="AQ13" i="11"/>
  <c r="AP136" i="11"/>
  <c r="R275" i="3"/>
  <c r="R280" i="3" s="1"/>
  <c r="R281" i="3" s="1"/>
  <c r="Q104" i="3"/>
  <c r="Q414" i="3"/>
  <c r="Q57" i="3" s="1"/>
  <c r="R164" i="3"/>
  <c r="AQ14" i="11" s="1"/>
  <c r="Q372" i="3"/>
  <c r="Q382" i="3" s="1"/>
  <c r="Q388" i="3" s="1"/>
  <c r="R260" i="3"/>
  <c r="Q459" i="3"/>
  <c r="Q298" i="3"/>
  <c r="Q301" i="3" s="1"/>
  <c r="Q304" i="3" s="1"/>
  <c r="Q303" i="3"/>
  <c r="Q21" i="3" s="1"/>
  <c r="Q450" i="3"/>
  <c r="Q451" i="3" s="1"/>
  <c r="Q27" i="3" s="1"/>
  <c r="Q51" i="3" s="1"/>
  <c r="P418" i="3"/>
  <c r="P419" i="3" s="1"/>
  <c r="P423" i="3" s="1"/>
  <c r="P57" i="3"/>
  <c r="AB257" i="3"/>
  <c r="BA145" i="11"/>
  <c r="AC207" i="3"/>
  <c r="BB144" i="11" s="1"/>
  <c r="AQ143" i="11"/>
  <c r="AQ146" i="11" s="1"/>
  <c r="R155" i="3"/>
  <c r="R404" i="3" s="1"/>
  <c r="R411" i="3" s="1"/>
  <c r="P460" i="3"/>
  <c r="P461" i="3" s="1"/>
  <c r="P464" i="3" s="1"/>
  <c r="Q454" i="3"/>
  <c r="P51" i="3"/>
  <c r="P28" i="3"/>
  <c r="Q390" i="3"/>
  <c r="Q56" i="3" s="1"/>
  <c r="Q92" i="3"/>
  <c r="S138" i="3"/>
  <c r="T135" i="3" s="1"/>
  <c r="AR77" i="11"/>
  <c r="S146" i="3"/>
  <c r="AR79" i="11" s="1"/>
  <c r="S152" i="3"/>
  <c r="S160" i="3"/>
  <c r="S161" i="3" s="1"/>
  <c r="T383" i="3"/>
  <c r="T389" i="3" s="1"/>
  <c r="T55" i="3" s="1"/>
  <c r="T258" i="3"/>
  <c r="T259" i="3" s="1"/>
  <c r="T263" i="3"/>
  <c r="T295" i="3"/>
  <c r="V212" i="3"/>
  <c r="V182" i="3"/>
  <c r="U247" i="3"/>
  <c r="R63" i="3" l="1"/>
  <c r="W301" i="11" s="1"/>
  <c r="I73" i="12"/>
  <c r="I41" i="12" s="1"/>
  <c r="R445" i="3"/>
  <c r="R450" i="3" s="1"/>
  <c r="R320" i="3"/>
  <c r="Q22" i="3"/>
  <c r="Q335" i="3" s="1"/>
  <c r="Q16" i="3"/>
  <c r="AP140" i="11" s="1"/>
  <c r="Q513" i="3"/>
  <c r="W131" i="3"/>
  <c r="W136" i="3" s="1"/>
  <c r="W506" i="3" s="1"/>
  <c r="R13" i="3"/>
  <c r="P95" i="3"/>
  <c r="Q422" i="3"/>
  <c r="R297" i="3"/>
  <c r="R384" i="3" s="1"/>
  <c r="S150" i="3"/>
  <c r="AQ11" i="11"/>
  <c r="Q102" i="3"/>
  <c r="Q105" i="3" s="1"/>
  <c r="R10" i="3"/>
  <c r="Q418" i="3"/>
  <c r="Q419" i="3" s="1"/>
  <c r="Q423" i="3" s="1"/>
  <c r="Q305" i="3"/>
  <c r="Q455" i="3"/>
  <c r="Q456" i="3" s="1"/>
  <c r="AP139" i="11"/>
  <c r="Q306" i="3"/>
  <c r="Q307" i="3"/>
  <c r="R417" i="3"/>
  <c r="AC255" i="3"/>
  <c r="AD205" i="3"/>
  <c r="R412" i="3"/>
  <c r="R156" i="3"/>
  <c r="AQ12" i="11" s="1"/>
  <c r="R371" i="3"/>
  <c r="R381" i="3" s="1"/>
  <c r="R166" i="3"/>
  <c r="S153" i="3"/>
  <c r="AR23" i="11" s="1"/>
  <c r="AR22" i="11"/>
  <c r="T103" i="3"/>
  <c r="R302" i="3"/>
  <c r="AR78" i="11"/>
  <c r="S154" i="3"/>
  <c r="S148" i="3"/>
  <c r="AR80" i="11" s="1"/>
  <c r="S162" i="3"/>
  <c r="S163" i="3" s="1"/>
  <c r="AR143" i="11" s="1"/>
  <c r="AR146" i="11" s="1"/>
  <c r="S147" i="3"/>
  <c r="Q392" i="3"/>
  <c r="Q54" i="3"/>
  <c r="U252" i="3"/>
  <c r="V213" i="3"/>
  <c r="V216" i="3" s="1"/>
  <c r="W180" i="3"/>
  <c r="V264" i="3"/>
  <c r="R446" i="3" l="1"/>
  <c r="S444" i="3" s="1"/>
  <c r="J298" i="11"/>
  <c r="I56" i="12"/>
  <c r="J297" i="11"/>
  <c r="I55" i="12"/>
  <c r="I10" i="12" s="1"/>
  <c r="H200" i="12" s="1"/>
  <c r="Q509" i="3"/>
  <c r="Q514" i="3" s="1"/>
  <c r="Q515" i="3" s="1"/>
  <c r="AP141" i="11"/>
  <c r="Q24" i="3"/>
  <c r="AP142" i="11" s="1"/>
  <c r="Q28" i="3"/>
  <c r="R19" i="3"/>
  <c r="J301" i="11" s="1"/>
  <c r="R507" i="3"/>
  <c r="W132" i="3"/>
  <c r="X129" i="3" s="1"/>
  <c r="AV76" i="11"/>
  <c r="W159" i="3"/>
  <c r="W151" i="3"/>
  <c r="AV21" i="11" s="1"/>
  <c r="R14" i="3"/>
  <c r="I57" i="12" s="1"/>
  <c r="I12" i="12" s="1"/>
  <c r="AQ136" i="11"/>
  <c r="R454" i="3"/>
  <c r="R298" i="3"/>
  <c r="R301" i="3" s="1"/>
  <c r="R307" i="3" s="1"/>
  <c r="R372" i="3"/>
  <c r="R382" i="3" s="1"/>
  <c r="R388" i="3" s="1"/>
  <c r="R104" i="3"/>
  <c r="R303" i="3"/>
  <c r="R21" i="3" s="1"/>
  <c r="Q460" i="3"/>
  <c r="Q461" i="3" s="1"/>
  <c r="Q464" i="3" s="1"/>
  <c r="R414" i="3"/>
  <c r="I79" i="12" s="1"/>
  <c r="S410" i="3"/>
  <c r="S155" i="3"/>
  <c r="T150" i="3" s="1"/>
  <c r="R387" i="3"/>
  <c r="R53" i="3" s="1"/>
  <c r="R91" i="3"/>
  <c r="AD207" i="3"/>
  <c r="AD255" i="3" s="1"/>
  <c r="AC257" i="3"/>
  <c r="BB145" i="11"/>
  <c r="S435" i="3"/>
  <c r="S441" i="3" s="1"/>
  <c r="AR13" i="11"/>
  <c r="T158" i="3"/>
  <c r="S164" i="3"/>
  <c r="AR14" i="11" s="1"/>
  <c r="S275" i="3"/>
  <c r="S280" i="3" s="1"/>
  <c r="S292" i="3"/>
  <c r="S260" i="3"/>
  <c r="R390" i="3"/>
  <c r="R56" i="3" s="1"/>
  <c r="R92" i="3"/>
  <c r="AS75" i="11"/>
  <c r="T137" i="3"/>
  <c r="R451" i="3"/>
  <c r="U383" i="3"/>
  <c r="U389" i="3" s="1"/>
  <c r="U55" i="3" s="1"/>
  <c r="U263" i="3"/>
  <c r="U295" i="3"/>
  <c r="U258" i="3"/>
  <c r="W212" i="3"/>
  <c r="W182" i="3"/>
  <c r="V247" i="3"/>
  <c r="I14" i="12" l="1"/>
  <c r="I11" i="12"/>
  <c r="R459" i="3"/>
  <c r="I77" i="12"/>
  <c r="I35" i="12" s="1"/>
  <c r="R57" i="3"/>
  <c r="AQ139" i="11"/>
  <c r="I61" i="12"/>
  <c r="I59" i="12"/>
  <c r="Q516" i="3"/>
  <c r="AQ137" i="11"/>
  <c r="G532" i="3"/>
  <c r="J524" i="3"/>
  <c r="J523" i="3"/>
  <c r="J525" i="3" s="1"/>
  <c r="G531" i="3"/>
  <c r="G533" i="3" s="1"/>
  <c r="R513" i="3"/>
  <c r="T138" i="3"/>
  <c r="U135" i="3" s="1"/>
  <c r="T510" i="3"/>
  <c r="R304" i="3"/>
  <c r="R22" i="3"/>
  <c r="R16" i="3"/>
  <c r="J300" i="11"/>
  <c r="R306" i="3"/>
  <c r="J303" i="11"/>
  <c r="R305" i="3"/>
  <c r="R102" i="3"/>
  <c r="R105" i="3" s="1"/>
  <c r="J324" i="11" s="1"/>
  <c r="Q95" i="3"/>
  <c r="R422" i="3"/>
  <c r="S404" i="3"/>
  <c r="S412" i="3" s="1"/>
  <c r="S414" i="3" s="1"/>
  <c r="R418" i="3"/>
  <c r="R419" i="3" s="1"/>
  <c r="R423" i="3" s="1"/>
  <c r="S166" i="3"/>
  <c r="S156" i="3"/>
  <c r="AR12" i="11" s="1"/>
  <c r="AR11" i="11"/>
  <c r="S10" i="3"/>
  <c r="S371" i="3"/>
  <c r="S381" i="3" s="1"/>
  <c r="S91" i="3" s="1"/>
  <c r="AD257" i="3"/>
  <c r="BC145" i="11"/>
  <c r="BC144" i="11"/>
  <c r="S297" i="3"/>
  <c r="S296" i="3"/>
  <c r="S13" i="3"/>
  <c r="S281" i="3"/>
  <c r="R27" i="3"/>
  <c r="R455" i="3"/>
  <c r="R456" i="3" s="1"/>
  <c r="R54" i="3"/>
  <c r="R392" i="3"/>
  <c r="AS77" i="11"/>
  <c r="T146" i="3"/>
  <c r="AS79" i="11" s="1"/>
  <c r="T152" i="3"/>
  <c r="T160" i="3"/>
  <c r="T161" i="3" s="1"/>
  <c r="S320" i="3"/>
  <c r="S445" i="3"/>
  <c r="S450" i="3" s="1"/>
  <c r="S62" i="3"/>
  <c r="U103" i="3"/>
  <c r="U259" i="3"/>
  <c r="V252" i="3"/>
  <c r="W213" i="3"/>
  <c r="W216" i="3" s="1"/>
  <c r="W264" i="3"/>
  <c r="X180" i="3"/>
  <c r="H205" i="12" l="1"/>
  <c r="H212" i="12" s="1"/>
  <c r="O264" i="12"/>
  <c r="Q264" i="12"/>
  <c r="I78" i="12"/>
  <c r="S63" i="3"/>
  <c r="J306" i="11"/>
  <c r="I66" i="12"/>
  <c r="I21" i="12" s="1"/>
  <c r="AQ141" i="11"/>
  <c r="AF159" i="11" s="1"/>
  <c r="AF160" i="11" s="1"/>
  <c r="I62" i="12"/>
  <c r="I17" i="12" s="1"/>
  <c r="I39" i="12" s="1"/>
  <c r="R335" i="3"/>
  <c r="J526" i="3"/>
  <c r="AI151" i="11" s="1"/>
  <c r="J527" i="3"/>
  <c r="AI152" i="11" s="1"/>
  <c r="G534" i="3"/>
  <c r="AF163" i="11"/>
  <c r="Q209" i="11" s="1"/>
  <c r="AF162" i="11"/>
  <c r="Q198" i="11" s="1"/>
  <c r="G535" i="3"/>
  <c r="T147" i="3"/>
  <c r="AS78" i="11"/>
  <c r="J305" i="11"/>
  <c r="T154" i="3"/>
  <c r="T148" i="3"/>
  <c r="AS80" i="11" s="1"/>
  <c r="T162" i="3"/>
  <c r="T163" i="3" s="1"/>
  <c r="AS143" i="11" s="1"/>
  <c r="AS146" i="11" s="1"/>
  <c r="R24" i="3"/>
  <c r="AQ142" i="11" s="1"/>
  <c r="AQ140" i="11"/>
  <c r="R509" i="3"/>
  <c r="R514" i="3" s="1"/>
  <c r="X131" i="3"/>
  <c r="X136" i="3" s="1"/>
  <c r="X506" i="3" s="1"/>
  <c r="S417" i="3"/>
  <c r="S411" i="3"/>
  <c r="S387" i="3"/>
  <c r="S53" i="3" s="1"/>
  <c r="S14" i="3"/>
  <c r="AR136" i="11"/>
  <c r="T153" i="3"/>
  <c r="AS23" i="11" s="1"/>
  <c r="AS22" i="11"/>
  <c r="S451" i="3"/>
  <c r="S303" i="3"/>
  <c r="S21" i="3" s="1"/>
  <c r="S384" i="3"/>
  <c r="S302" i="3"/>
  <c r="S298" i="3"/>
  <c r="S301" i="3" s="1"/>
  <c r="S306" i="3" s="1"/>
  <c r="AT75" i="11"/>
  <c r="U137" i="3"/>
  <c r="S422" i="3"/>
  <c r="S104" i="3"/>
  <c r="T410" i="3"/>
  <c r="S454" i="3"/>
  <c r="R460" i="3"/>
  <c r="R461" i="3" s="1"/>
  <c r="R464" i="3" s="1"/>
  <c r="S446" i="3"/>
  <c r="R51" i="3"/>
  <c r="R28" i="3"/>
  <c r="S372" i="3"/>
  <c r="S382" i="3" s="1"/>
  <c r="V383" i="3"/>
  <c r="V389" i="3" s="1"/>
  <c r="V55" i="3" s="1"/>
  <c r="V263" i="3"/>
  <c r="V295" i="3"/>
  <c r="V258" i="3"/>
  <c r="V259" i="3" s="1"/>
  <c r="X212" i="3"/>
  <c r="X182" i="3"/>
  <c r="W247" i="3"/>
  <c r="P264" i="12" l="1"/>
  <c r="I19" i="12"/>
  <c r="I22" i="12"/>
  <c r="I80" i="12"/>
  <c r="I67" i="12"/>
  <c r="I64" i="12"/>
  <c r="I16" i="12"/>
  <c r="S16" i="3"/>
  <c r="S509" i="3" s="1"/>
  <c r="S514" i="3" s="1"/>
  <c r="U138" i="3"/>
  <c r="V135" i="3" s="1"/>
  <c r="U510" i="3"/>
  <c r="S19" i="3"/>
  <c r="AR137" i="11" s="1"/>
  <c r="S507" i="3"/>
  <c r="T292" i="3"/>
  <c r="T297" i="3" s="1"/>
  <c r="T435" i="3"/>
  <c r="T441" i="3" s="1"/>
  <c r="T62" i="3" s="1"/>
  <c r="R515" i="3"/>
  <c r="R516" i="3"/>
  <c r="AW76" i="11"/>
  <c r="X151" i="3"/>
  <c r="AW21" i="11" s="1"/>
  <c r="X159" i="3"/>
  <c r="U158" i="3"/>
  <c r="X132" i="3"/>
  <c r="Y129" i="3" s="1"/>
  <c r="T164" i="3"/>
  <c r="AS14" i="11" s="1"/>
  <c r="R95" i="3"/>
  <c r="J319" i="11" s="1"/>
  <c r="AS13" i="11"/>
  <c r="T275" i="3"/>
  <c r="T280" i="3" s="1"/>
  <c r="T281" i="3" s="1"/>
  <c r="T260" i="3"/>
  <c r="AR139" i="11"/>
  <c r="T155" i="3"/>
  <c r="S459" i="3"/>
  <c r="T444" i="3"/>
  <c r="S27" i="3"/>
  <c r="S455" i="3"/>
  <c r="S456" i="3" s="1"/>
  <c r="S418" i="3"/>
  <c r="S57" i="3"/>
  <c r="S102" i="3"/>
  <c r="S105" i="3" s="1"/>
  <c r="S388" i="3"/>
  <c r="AT77" i="11"/>
  <c r="U152" i="3"/>
  <c r="U160" i="3"/>
  <c r="U161" i="3" s="1"/>
  <c r="U146" i="3"/>
  <c r="AT79" i="11" s="1"/>
  <c r="S92" i="3"/>
  <c r="S390" i="3"/>
  <c r="S56" i="3" s="1"/>
  <c r="S307" i="3"/>
  <c r="S305" i="3"/>
  <c r="S304" i="3"/>
  <c r="V103" i="3"/>
  <c r="W252" i="3"/>
  <c r="X213" i="3"/>
  <c r="X216" i="3" s="1"/>
  <c r="X264" i="3"/>
  <c r="Y180" i="3"/>
  <c r="I24" i="12" l="1"/>
  <c r="I40" i="12"/>
  <c r="I36" i="12"/>
  <c r="I42" i="12" s="1"/>
  <c r="H201" i="12"/>
  <c r="H209" i="12" s="1"/>
  <c r="U154" i="3"/>
  <c r="U147" i="3"/>
  <c r="T63" i="3"/>
  <c r="I69" i="12"/>
  <c r="U148" i="3"/>
  <c r="AT80" i="11" s="1"/>
  <c r="S22" i="3"/>
  <c r="AR141" i="11" s="1"/>
  <c r="T296" i="3"/>
  <c r="T302" i="3" s="1"/>
  <c r="AR140" i="11"/>
  <c r="T320" i="3"/>
  <c r="T445" i="3"/>
  <c r="T450" i="3" s="1"/>
  <c r="U162" i="3"/>
  <c r="U163" i="3" s="1"/>
  <c r="AT143" i="11" s="1"/>
  <c r="AT146" i="11" s="1"/>
  <c r="AT78" i="11"/>
  <c r="S513" i="3"/>
  <c r="T13" i="3"/>
  <c r="S419" i="3"/>
  <c r="S423" i="3" s="1"/>
  <c r="S51" i="3"/>
  <c r="T10" i="3"/>
  <c r="AS11" i="11"/>
  <c r="T156" i="3"/>
  <c r="AS12" i="11" s="1"/>
  <c r="T404" i="3"/>
  <c r="T166" i="3"/>
  <c r="U150" i="3"/>
  <c r="T371" i="3"/>
  <c r="T381" i="3" s="1"/>
  <c r="U153" i="3"/>
  <c r="AT23" i="11" s="1"/>
  <c r="AT22" i="11"/>
  <c r="AU75" i="11"/>
  <c r="V137" i="3"/>
  <c r="V510" i="3" s="1"/>
  <c r="S54" i="3"/>
  <c r="S392" i="3"/>
  <c r="T454" i="3"/>
  <c r="S460" i="3"/>
  <c r="S461" i="3" s="1"/>
  <c r="S464" i="3" s="1"/>
  <c r="T384" i="3"/>
  <c r="T303" i="3"/>
  <c r="T21" i="3" s="1"/>
  <c r="W383" i="3"/>
  <c r="W389" i="3" s="1"/>
  <c r="W55" i="3" s="1"/>
  <c r="W263" i="3"/>
  <c r="W295" i="3"/>
  <c r="W258" i="3"/>
  <c r="W259" i="3" s="1"/>
  <c r="Y212" i="3"/>
  <c r="Y182" i="3"/>
  <c r="Y213" i="3" s="1"/>
  <c r="Y216" i="3" s="1"/>
  <c r="X247" i="3"/>
  <c r="I43" i="12" l="1"/>
  <c r="I138" i="12" s="1"/>
  <c r="I142" i="12" s="1"/>
  <c r="S28" i="3"/>
  <c r="S335" i="3"/>
  <c r="S24" i="3"/>
  <c r="AR142" i="11" s="1"/>
  <c r="AS136" i="11"/>
  <c r="T372" i="3"/>
  <c r="T382" i="3" s="1"/>
  <c r="T102" i="3" s="1"/>
  <c r="T298" i="3"/>
  <c r="T301" i="3" s="1"/>
  <c r="T306" i="3" s="1"/>
  <c r="T446" i="3"/>
  <c r="U444" i="3" s="1"/>
  <c r="S516" i="3"/>
  <c r="S515" i="3"/>
  <c r="T19" i="3"/>
  <c r="T507" i="3"/>
  <c r="Y131" i="3"/>
  <c r="Y136" i="3" s="1"/>
  <c r="Y506" i="3" s="1"/>
  <c r="S95" i="3"/>
  <c r="T14" i="3"/>
  <c r="AS139" i="11"/>
  <c r="T387" i="3"/>
  <c r="T53" i="3" s="1"/>
  <c r="T91" i="3"/>
  <c r="T412" i="3"/>
  <c r="T417" i="3"/>
  <c r="T411" i="3"/>
  <c r="U155" i="3"/>
  <c r="U371" i="3" s="1"/>
  <c r="U381" i="3" s="1"/>
  <c r="W103" i="3"/>
  <c r="V138" i="3"/>
  <c r="W135" i="3" s="1"/>
  <c r="AU77" i="11"/>
  <c r="V160" i="3"/>
  <c r="V161" i="3" s="1"/>
  <c r="V146" i="3"/>
  <c r="AU79" i="11" s="1"/>
  <c r="V152" i="3"/>
  <c r="T451" i="3"/>
  <c r="U435" i="3"/>
  <c r="U441" i="3" s="1"/>
  <c r="V158" i="3"/>
  <c r="U292" i="3"/>
  <c r="AT13" i="11"/>
  <c r="U164" i="3"/>
  <c r="AT14" i="11" s="1"/>
  <c r="U275" i="3"/>
  <c r="U280" i="3" s="1"/>
  <c r="U260" i="3"/>
  <c r="T92" i="3"/>
  <c r="T390" i="3"/>
  <c r="X252" i="3"/>
  <c r="Y247" i="3"/>
  <c r="Z180" i="3"/>
  <c r="Y264" i="3"/>
  <c r="I144" i="12" l="1"/>
  <c r="I148" i="12"/>
  <c r="I154" i="12" s="1"/>
  <c r="I156" i="12" s="1"/>
  <c r="I94" i="12"/>
  <c r="I97" i="12" s="1"/>
  <c r="I103" i="12" s="1"/>
  <c r="AS137" i="11"/>
  <c r="T388" i="3"/>
  <c r="T54" i="3" s="1"/>
  <c r="T307" i="3"/>
  <c r="T305" i="3"/>
  <c r="T304" i="3"/>
  <c r="T459" i="3"/>
  <c r="T22" i="3"/>
  <c r="T513" i="3"/>
  <c r="AX76" i="11"/>
  <c r="Y159" i="3"/>
  <c r="Y151" i="3"/>
  <c r="AX21" i="11" s="1"/>
  <c r="Y132" i="3"/>
  <c r="Z129" i="3" s="1"/>
  <c r="T16" i="3"/>
  <c r="AT11" i="11"/>
  <c r="U10" i="3"/>
  <c r="R227" i="12" s="1"/>
  <c r="V150" i="3"/>
  <c r="U156" i="3"/>
  <c r="AT12" i="11" s="1"/>
  <c r="U166" i="3"/>
  <c r="U404" i="3"/>
  <c r="U417" i="3" s="1"/>
  <c r="U410" i="3"/>
  <c r="T414" i="3"/>
  <c r="T104" i="3"/>
  <c r="T105" i="3" s="1"/>
  <c r="V153" i="3"/>
  <c r="AU23" i="11" s="1"/>
  <c r="AU22" i="11"/>
  <c r="T56" i="3"/>
  <c r="T27" i="3"/>
  <c r="T455" i="3"/>
  <c r="T456" i="3" s="1"/>
  <c r="AU78" i="11"/>
  <c r="V147" i="3"/>
  <c r="V154" i="3"/>
  <c r="V148" i="3"/>
  <c r="AU80" i="11" s="1"/>
  <c r="V162" i="3"/>
  <c r="V163" i="3" s="1"/>
  <c r="AU143" i="11" s="1"/>
  <c r="AU146" i="11" s="1"/>
  <c r="U296" i="3"/>
  <c r="U297" i="3"/>
  <c r="U320" i="3"/>
  <c r="U62" i="3"/>
  <c r="U445" i="3"/>
  <c r="U450" i="3" s="1"/>
  <c r="U13" i="3"/>
  <c r="U281" i="3"/>
  <c r="U91" i="3"/>
  <c r="U387" i="3"/>
  <c r="X258" i="3"/>
  <c r="X259" i="3" s="1"/>
  <c r="X383" i="3"/>
  <c r="X263" i="3"/>
  <c r="X295" i="3"/>
  <c r="Y252" i="3"/>
  <c r="Z182" i="3"/>
  <c r="Z212" i="3"/>
  <c r="O262" i="12" l="1"/>
  <c r="R229" i="12"/>
  <c r="I150" i="12"/>
  <c r="I105" i="12"/>
  <c r="I109" i="12"/>
  <c r="I111" i="12" s="1"/>
  <c r="I99" i="12"/>
  <c r="Q262" i="12"/>
  <c r="P262" i="12" s="1"/>
  <c r="Q252" i="12"/>
  <c r="T422" i="3"/>
  <c r="U63" i="3"/>
  <c r="T392" i="3"/>
  <c r="T335" i="3"/>
  <c r="AS141" i="11"/>
  <c r="T24" i="3"/>
  <c r="AS142" i="11" s="1"/>
  <c r="AS140" i="11"/>
  <c r="T509" i="3"/>
  <c r="T514" i="3" s="1"/>
  <c r="U411" i="3"/>
  <c r="U412" i="3"/>
  <c r="U14" i="3"/>
  <c r="AT136" i="11"/>
  <c r="U372" i="3"/>
  <c r="U382" i="3" s="1"/>
  <c r="T57" i="3"/>
  <c r="T418" i="3"/>
  <c r="T419" i="3" s="1"/>
  <c r="T423" i="3" s="1"/>
  <c r="V155" i="3"/>
  <c r="V371" i="3" s="1"/>
  <c r="V381" i="3" s="1"/>
  <c r="U451" i="3"/>
  <c r="T460" i="3"/>
  <c r="T461" i="3" s="1"/>
  <c r="T464" i="3" s="1"/>
  <c r="U454" i="3"/>
  <c r="AV75" i="11"/>
  <c r="W137" i="3"/>
  <c r="U384" i="3"/>
  <c r="U303" i="3"/>
  <c r="U21" i="3" s="1"/>
  <c r="U302" i="3"/>
  <c r="U298" i="3"/>
  <c r="U301" i="3" s="1"/>
  <c r="U306" i="3" s="1"/>
  <c r="U53" i="3"/>
  <c r="V435" i="3"/>
  <c r="V441" i="3" s="1"/>
  <c r="V164" i="3"/>
  <c r="AU14" i="11" s="1"/>
  <c r="W158" i="3"/>
  <c r="V275" i="3"/>
  <c r="V280" i="3" s="1"/>
  <c r="V292" i="3"/>
  <c r="AU13" i="11"/>
  <c r="V260" i="3"/>
  <c r="T51" i="3"/>
  <c r="T28" i="3"/>
  <c r="U446" i="3"/>
  <c r="Y383" i="3"/>
  <c r="Y103" i="3" s="1"/>
  <c r="X389" i="3"/>
  <c r="X55" i="3" s="1"/>
  <c r="X103" i="3"/>
  <c r="Y263" i="3"/>
  <c r="Y295" i="3"/>
  <c r="Y258" i="3"/>
  <c r="Y259" i="3" s="1"/>
  <c r="Z213" i="3"/>
  <c r="Z216" i="3" s="1"/>
  <c r="AA180" i="3"/>
  <c r="Z264" i="3"/>
  <c r="U102" i="3" l="1"/>
  <c r="U16" i="3"/>
  <c r="AT140" i="11" s="1"/>
  <c r="K523" i="3"/>
  <c r="K525" i="3" s="1"/>
  <c r="U19" i="3"/>
  <c r="U507" i="3"/>
  <c r="T515" i="3"/>
  <c r="W138" i="3"/>
  <c r="X135" i="3" s="1"/>
  <c r="W510" i="3"/>
  <c r="T516" i="3"/>
  <c r="Z131" i="3"/>
  <c r="Z136" i="3" s="1"/>
  <c r="Z506" i="3" s="1"/>
  <c r="T95" i="3"/>
  <c r="U414" i="3"/>
  <c r="AU11" i="11"/>
  <c r="AT139" i="11"/>
  <c r="W150" i="3"/>
  <c r="V156" i="3"/>
  <c r="AU12" i="11" s="1"/>
  <c r="U388" i="3"/>
  <c r="U54" i="3" s="1"/>
  <c r="V166" i="3"/>
  <c r="U104" i="3"/>
  <c r="V10" i="3"/>
  <c r="V410" i="3"/>
  <c r="V404" i="3"/>
  <c r="V411" i="3" s="1"/>
  <c r="Y389" i="3"/>
  <c r="Y55" i="3" s="1"/>
  <c r="V13" i="3"/>
  <c r="V281" i="3"/>
  <c r="V387" i="3"/>
  <c r="V91" i="3"/>
  <c r="U92" i="3"/>
  <c r="U390" i="3"/>
  <c r="V445" i="3"/>
  <c r="V450" i="3" s="1"/>
  <c r="V62" i="3"/>
  <c r="V320" i="3"/>
  <c r="V297" i="3"/>
  <c r="V296" i="3"/>
  <c r="U27" i="3"/>
  <c r="U455" i="3"/>
  <c r="U456" i="3" s="1"/>
  <c r="U305" i="3"/>
  <c r="U304" i="3"/>
  <c r="U307" i="3"/>
  <c r="V444" i="3"/>
  <c r="U459" i="3"/>
  <c r="AV77" i="11"/>
  <c r="W152" i="3"/>
  <c r="W146" i="3"/>
  <c r="AV79" i="11" s="1"/>
  <c r="W160" i="3"/>
  <c r="W161" i="3" s="1"/>
  <c r="AA182" i="3"/>
  <c r="AA212" i="3"/>
  <c r="Z247" i="3"/>
  <c r="U105" i="3" l="1"/>
  <c r="U57" i="3"/>
  <c r="V63" i="3"/>
  <c r="U22" i="3"/>
  <c r="U335" i="3" s="1"/>
  <c r="U509" i="3"/>
  <c r="U514" i="3" s="1"/>
  <c r="AT137" i="11"/>
  <c r="W154" i="3"/>
  <c r="W162" i="3"/>
  <c r="W163" i="3" s="1"/>
  <c r="AV143" i="11" s="1"/>
  <c r="AV146" i="11" s="1"/>
  <c r="K524" i="3"/>
  <c r="K527" i="3" s="1"/>
  <c r="AJ152" i="11" s="1"/>
  <c r="W147" i="3"/>
  <c r="W148" i="3"/>
  <c r="AV80" i="11" s="1"/>
  <c r="AV78" i="11"/>
  <c r="U513" i="3"/>
  <c r="AY76" i="11"/>
  <c r="Z159" i="3"/>
  <c r="Z151" i="3"/>
  <c r="AY21" i="11" s="1"/>
  <c r="Z132" i="3"/>
  <c r="AA129" i="3" s="1"/>
  <c r="U422" i="3"/>
  <c r="U418" i="3"/>
  <c r="U419" i="3" s="1"/>
  <c r="U423" i="3" s="1"/>
  <c r="U51" i="3"/>
  <c r="V412" i="3"/>
  <c r="W410" i="3" s="1"/>
  <c r="V417" i="3"/>
  <c r="V14" i="3"/>
  <c r="AU136" i="11"/>
  <c r="W153" i="3"/>
  <c r="AV23" i="11" s="1"/>
  <c r="AV22" i="11"/>
  <c r="V372" i="3"/>
  <c r="V382" i="3" s="1"/>
  <c r="V388" i="3" s="1"/>
  <c r="V54" i="3" s="1"/>
  <c r="U56" i="3"/>
  <c r="U392" i="3"/>
  <c r="AW75" i="11"/>
  <c r="X137" i="3"/>
  <c r="X510" i="3" s="1"/>
  <c r="V53" i="3"/>
  <c r="V446" i="3"/>
  <c r="V454" i="3"/>
  <c r="U460" i="3"/>
  <c r="U461" i="3" s="1"/>
  <c r="U464" i="3" s="1"/>
  <c r="V302" i="3"/>
  <c r="V298" i="3"/>
  <c r="V301" i="3" s="1"/>
  <c r="V306" i="3" s="1"/>
  <c r="V384" i="3"/>
  <c r="V303" i="3"/>
  <c r="V21" i="3" s="1"/>
  <c r="V451" i="3"/>
  <c r="Z252" i="3"/>
  <c r="AA213" i="3"/>
  <c r="AA216" i="3" s="1"/>
  <c r="AB180" i="3"/>
  <c r="AA264" i="3"/>
  <c r="AT141" i="11" l="1"/>
  <c r="U24" i="3"/>
  <c r="AT142" i="11" s="1"/>
  <c r="U28" i="3"/>
  <c r="K526" i="3"/>
  <c r="AJ151" i="11" s="1"/>
  <c r="V16" i="3"/>
  <c r="AU140" i="11" s="1"/>
  <c r="U516" i="3"/>
  <c r="V19" i="3"/>
  <c r="V507" i="3"/>
  <c r="U515" i="3"/>
  <c r="V414" i="3"/>
  <c r="W164" i="3"/>
  <c r="AV14" i="11" s="1"/>
  <c r="U95" i="3"/>
  <c r="V104" i="3"/>
  <c r="W260" i="3"/>
  <c r="W292" i="3"/>
  <c r="W297" i="3" s="1"/>
  <c r="W275" i="3"/>
  <c r="W280" i="3" s="1"/>
  <c r="W13" i="3" s="1"/>
  <c r="AV136" i="11" s="1"/>
  <c r="X158" i="3"/>
  <c r="AV13" i="11"/>
  <c r="W435" i="3"/>
  <c r="W441" i="3" s="1"/>
  <c r="W445" i="3" s="1"/>
  <c r="W450" i="3" s="1"/>
  <c r="AU139" i="11"/>
  <c r="V102" i="3"/>
  <c r="V307" i="3"/>
  <c r="W155" i="3"/>
  <c r="W404" i="3" s="1"/>
  <c r="V459" i="3"/>
  <c r="W444" i="3"/>
  <c r="X138" i="3"/>
  <c r="Y135" i="3" s="1"/>
  <c r="AW77" i="11"/>
  <c r="X146" i="3"/>
  <c r="AW79" i="11" s="1"/>
  <c r="X152" i="3"/>
  <c r="X160" i="3"/>
  <c r="X161" i="3" s="1"/>
  <c r="V304" i="3"/>
  <c r="V305" i="3"/>
  <c r="V92" i="3"/>
  <c r="V390" i="3"/>
  <c r="V27" i="3"/>
  <c r="V455" i="3"/>
  <c r="V456" i="3" s="1"/>
  <c r="Z383" i="3"/>
  <c r="Z103" i="3" s="1"/>
  <c r="Z263" i="3"/>
  <c r="Z295" i="3"/>
  <c r="Z258" i="3"/>
  <c r="Z259" i="3" s="1"/>
  <c r="AB182" i="3"/>
  <c r="AB213" i="3" s="1"/>
  <c r="AB216" i="3" s="1"/>
  <c r="AB212" i="3"/>
  <c r="AA247" i="3"/>
  <c r="V57" i="3" l="1"/>
  <c r="V22" i="3"/>
  <c r="V28" i="3" s="1"/>
  <c r="V509" i="3"/>
  <c r="V514" i="3" s="1"/>
  <c r="AU137" i="11"/>
  <c r="V513" i="3"/>
  <c r="AA131" i="3"/>
  <c r="AA136" i="3" s="1"/>
  <c r="AA506" i="3" s="1"/>
  <c r="V422" i="3"/>
  <c r="V418" i="3"/>
  <c r="V419" i="3" s="1"/>
  <c r="V423" i="3" s="1"/>
  <c r="V105" i="3"/>
  <c r="W296" i="3"/>
  <c r="W298" i="3" s="1"/>
  <c r="W301" i="3" s="1"/>
  <c r="W307" i="3" s="1"/>
  <c r="W281" i="3"/>
  <c r="W320" i="3"/>
  <c r="W62" i="3"/>
  <c r="W371" i="3"/>
  <c r="W381" i="3" s="1"/>
  <c r="W387" i="3" s="1"/>
  <c r="V51" i="3"/>
  <c r="AV11" i="11"/>
  <c r="W446" i="3"/>
  <c r="X444" i="3" s="1"/>
  <c r="W10" i="3"/>
  <c r="W14" i="3" s="1"/>
  <c r="X150" i="3"/>
  <c r="W156" i="3"/>
  <c r="AV12" i="11" s="1"/>
  <c r="W166" i="3"/>
  <c r="X153" i="3"/>
  <c r="AW23" i="11" s="1"/>
  <c r="AW22" i="11"/>
  <c r="W454" i="3"/>
  <c r="V460" i="3"/>
  <c r="V461" i="3" s="1"/>
  <c r="V464" i="3" s="1"/>
  <c r="V56" i="3"/>
  <c r="V392" i="3"/>
  <c r="W417" i="3"/>
  <c r="W411" i="3"/>
  <c r="W412" i="3"/>
  <c r="W451" i="3"/>
  <c r="AW78" i="11"/>
  <c r="X154" i="3"/>
  <c r="X148" i="3"/>
  <c r="AW80" i="11" s="1"/>
  <c r="X147" i="3"/>
  <c r="X162" i="3"/>
  <c r="X163" i="3" s="1"/>
  <c r="AW143" i="11" s="1"/>
  <c r="AW146" i="11" s="1"/>
  <c r="W384" i="3"/>
  <c r="W303" i="3"/>
  <c r="W21" i="3" s="1"/>
  <c r="Z389" i="3"/>
  <c r="Z55" i="3" s="1"/>
  <c r="AA252" i="3"/>
  <c r="AB247" i="3"/>
  <c r="AC180" i="3"/>
  <c r="AB264" i="3"/>
  <c r="AU141" i="11" l="1"/>
  <c r="W63" i="3"/>
  <c r="V335" i="3"/>
  <c r="V24" i="3"/>
  <c r="AU142" i="11" s="1"/>
  <c r="V516" i="3"/>
  <c r="V515" i="3"/>
  <c r="W372" i="3"/>
  <c r="W382" i="3" s="1"/>
  <c r="W102" i="3" s="1"/>
  <c r="AZ76" i="11"/>
  <c r="AA159" i="3"/>
  <c r="AA151" i="3"/>
  <c r="AZ21" i="11" s="1"/>
  <c r="W302" i="3"/>
  <c r="AA132" i="3"/>
  <c r="AB129" i="3" s="1"/>
  <c r="W459" i="3"/>
  <c r="V95" i="3"/>
  <c r="W91" i="3"/>
  <c r="AV139" i="11"/>
  <c r="X155" i="3"/>
  <c r="X371" i="3" s="1"/>
  <c r="X381" i="3" s="1"/>
  <c r="X435" i="3"/>
  <c r="X441" i="3" s="1"/>
  <c r="AW13" i="11"/>
  <c r="X164" i="3"/>
  <c r="AW14" i="11" s="1"/>
  <c r="Y158" i="3"/>
  <c r="X275" i="3"/>
  <c r="X280" i="3" s="1"/>
  <c r="X292" i="3"/>
  <c r="X260" i="3"/>
  <c r="AX75" i="11"/>
  <c r="Y137" i="3"/>
  <c r="Y510" i="3" s="1"/>
  <c r="X410" i="3"/>
  <c r="W414" i="3"/>
  <c r="W422" i="3" s="1"/>
  <c r="W104" i="3"/>
  <c r="W92" i="3"/>
  <c r="W390" i="3"/>
  <c r="W56" i="3" s="1"/>
  <c r="W53" i="3"/>
  <c r="W305" i="3"/>
  <c r="W304" i="3"/>
  <c r="W16" i="3"/>
  <c r="W306" i="3"/>
  <c r="W27" i="3"/>
  <c r="W51" i="3" s="1"/>
  <c r="W455" i="3"/>
  <c r="W456" i="3" s="1"/>
  <c r="AA383" i="3"/>
  <c r="AA389" i="3" s="1"/>
  <c r="AA55" i="3" s="1"/>
  <c r="AA263" i="3"/>
  <c r="AA295" i="3"/>
  <c r="AA258" i="3"/>
  <c r="AA259" i="3" s="1"/>
  <c r="AB252" i="3"/>
  <c r="AC182" i="3"/>
  <c r="AC212" i="3"/>
  <c r="W19" i="3" l="1"/>
  <c r="W507" i="3"/>
  <c r="W105" i="3"/>
  <c r="W388" i="3"/>
  <c r="W54" i="3" s="1"/>
  <c r="AV140" i="11"/>
  <c r="W509" i="3"/>
  <c r="W514" i="3" s="1"/>
  <c r="Y150" i="3"/>
  <c r="X166" i="3"/>
  <c r="X10" i="3"/>
  <c r="AW11" i="11"/>
  <c r="X156" i="3"/>
  <c r="AW12" i="11" s="1"/>
  <c r="X404" i="3"/>
  <c r="X412" i="3" s="1"/>
  <c r="W418" i="3"/>
  <c r="W419" i="3" s="1"/>
  <c r="W423" i="3" s="1"/>
  <c r="W57" i="3"/>
  <c r="X297" i="3"/>
  <c r="X296" i="3"/>
  <c r="X13" i="3"/>
  <c r="X281" i="3"/>
  <c r="Y138" i="3"/>
  <c r="Z135" i="3" s="1"/>
  <c r="AX77" i="11"/>
  <c r="Y152" i="3"/>
  <c r="Y146" i="3"/>
  <c r="AX79" i="11" s="1"/>
  <c r="Y160" i="3"/>
  <c r="Y161" i="3" s="1"/>
  <c r="X387" i="3"/>
  <c r="X91" i="3"/>
  <c r="W460" i="3"/>
  <c r="W461" i="3" s="1"/>
  <c r="W464" i="3" s="1"/>
  <c r="X454" i="3"/>
  <c r="X62" i="3"/>
  <c r="X63" i="3" s="1"/>
  <c r="X320" i="3"/>
  <c r="X445" i="3"/>
  <c r="AA103" i="3"/>
  <c r="AB258" i="3"/>
  <c r="AB259" i="3" s="1"/>
  <c r="AB383" i="3"/>
  <c r="AB263" i="3"/>
  <c r="AB295" i="3"/>
  <c r="AC213" i="3"/>
  <c r="AC216" i="3" s="1"/>
  <c r="AD180" i="3"/>
  <c r="AC264" i="3"/>
  <c r="W392" i="3" l="1"/>
  <c r="W513" i="3"/>
  <c r="W515" i="3" s="1"/>
  <c r="AV137" i="11"/>
  <c r="W22" i="3"/>
  <c r="AB131" i="3"/>
  <c r="AB136" i="3" s="1"/>
  <c r="AB506" i="3" s="1"/>
  <c r="W95" i="3"/>
  <c r="X411" i="3"/>
  <c r="X417" i="3"/>
  <c r="X372" i="3"/>
  <c r="X382" i="3" s="1"/>
  <c r="X102" i="3" s="1"/>
  <c r="X14" i="3"/>
  <c r="AW136" i="11"/>
  <c r="Y153" i="3"/>
  <c r="AX23" i="11" s="1"/>
  <c r="AX22" i="11"/>
  <c r="Y410" i="3"/>
  <c r="X104" i="3"/>
  <c r="X414" i="3"/>
  <c r="X422" i="3" s="1"/>
  <c r="X302" i="3"/>
  <c r="X298" i="3"/>
  <c r="X301" i="3" s="1"/>
  <c r="X307" i="3" s="1"/>
  <c r="X53" i="3"/>
  <c r="X450" i="3"/>
  <c r="X446" i="3"/>
  <c r="X384" i="3"/>
  <c r="X303" i="3"/>
  <c r="X21" i="3" s="1"/>
  <c r="AW139" i="11" s="1"/>
  <c r="AX78" i="11"/>
  <c r="Y162" i="3"/>
  <c r="Y163" i="3" s="1"/>
  <c r="AX143" i="11" s="1"/>
  <c r="AX146" i="11" s="1"/>
  <c r="Y154" i="3"/>
  <c r="Y148" i="3"/>
  <c r="AX80" i="11" s="1"/>
  <c r="Y147" i="3"/>
  <c r="AB389" i="3"/>
  <c r="AB55" i="3" s="1"/>
  <c r="AB103" i="3"/>
  <c r="AD212" i="3"/>
  <c r="AD182" i="3"/>
  <c r="AD264" i="3" s="1"/>
  <c r="AC247" i="3"/>
  <c r="Y155" i="3" l="1"/>
  <c r="Y10" i="3" s="1"/>
  <c r="X16" i="3"/>
  <c r="X509" i="3" s="1"/>
  <c r="X514" i="3" s="1"/>
  <c r="L523" i="3"/>
  <c r="L525" i="3" s="1"/>
  <c r="X19" i="3"/>
  <c r="AW137" i="11" s="1"/>
  <c r="X507" i="3"/>
  <c r="AV141" i="11"/>
  <c r="W24" i="3"/>
  <c r="AV142" i="11" s="1"/>
  <c r="W28" i="3"/>
  <c r="W335" i="3"/>
  <c r="W516" i="3"/>
  <c r="AW140" i="11"/>
  <c r="BA76" i="11"/>
  <c r="AB159" i="3"/>
  <c r="AB151" i="3"/>
  <c r="BA21" i="11" s="1"/>
  <c r="AB132" i="3"/>
  <c r="AC129" i="3" s="1"/>
  <c r="X105" i="3"/>
  <c r="X388" i="3"/>
  <c r="X54" i="3" s="1"/>
  <c r="X306" i="3"/>
  <c r="AY75" i="11"/>
  <c r="Z137" i="3"/>
  <c r="X418" i="3"/>
  <c r="X419" i="3" s="1"/>
  <c r="X423" i="3" s="1"/>
  <c r="X57" i="3"/>
  <c r="X459" i="3"/>
  <c r="Y444" i="3"/>
  <c r="X451" i="3"/>
  <c r="Y435" i="3"/>
  <c r="Y441" i="3" s="1"/>
  <c r="Y260" i="3"/>
  <c r="Y164" i="3"/>
  <c r="AX14" i="11" s="1"/>
  <c r="AX13" i="11"/>
  <c r="Z158" i="3"/>
  <c r="Y275" i="3"/>
  <c r="Y280" i="3" s="1"/>
  <c r="Y292" i="3"/>
  <c r="X305" i="3"/>
  <c r="X304" i="3"/>
  <c r="X92" i="3"/>
  <c r="X390" i="3"/>
  <c r="AD213" i="3"/>
  <c r="AD216" i="3" s="1"/>
  <c r="AD247" i="3" s="1"/>
  <c r="AC252" i="3"/>
  <c r="X22" i="3" l="1"/>
  <c r="AW141" i="11" s="1"/>
  <c r="AX11" i="11"/>
  <c r="Y371" i="3"/>
  <c r="Y381" i="3" s="1"/>
  <c r="Y91" i="3" s="1"/>
  <c r="Y156" i="3"/>
  <c r="AX12" i="11" s="1"/>
  <c r="Z150" i="3"/>
  <c r="Y404" i="3"/>
  <c r="Y411" i="3" s="1"/>
  <c r="Y166" i="3"/>
  <c r="X513" i="3"/>
  <c r="X515" i="3" s="1"/>
  <c r="L524" i="3"/>
  <c r="L527" i="3" s="1"/>
  <c r="AK152" i="11" s="1"/>
  <c r="Z138" i="3"/>
  <c r="AA135" i="3" s="1"/>
  <c r="Z510" i="3"/>
  <c r="AY77" i="11"/>
  <c r="Z152" i="3"/>
  <c r="Z146" i="3"/>
  <c r="AY79" i="11" s="1"/>
  <c r="Z160" i="3"/>
  <c r="Z161" i="3" s="1"/>
  <c r="Y320" i="3"/>
  <c r="Y445" i="3"/>
  <c r="Y450" i="3" s="1"/>
  <c r="Y62" i="3"/>
  <c r="Y63" i="3" s="1"/>
  <c r="X56" i="3"/>
  <c r="X392" i="3"/>
  <c r="Y297" i="3"/>
  <c r="Y296" i="3"/>
  <c r="X27" i="3"/>
  <c r="X455" i="3"/>
  <c r="X456" i="3" s="1"/>
  <c r="Y281" i="3"/>
  <c r="Y13" i="3"/>
  <c r="AC383" i="3"/>
  <c r="AC389" i="3" s="1"/>
  <c r="AC55" i="3" s="1"/>
  <c r="AC258" i="3"/>
  <c r="AC259" i="3" s="1"/>
  <c r="AC295" i="3"/>
  <c r="AC263" i="3"/>
  <c r="AD252" i="3"/>
  <c r="X516" i="3" l="1"/>
  <c r="X24" i="3"/>
  <c r="AW142" i="11" s="1"/>
  <c r="X335" i="3"/>
  <c r="Y387" i="3"/>
  <c r="Y53" i="3" s="1"/>
  <c r="Y417" i="3"/>
  <c r="Y412" i="3"/>
  <c r="Z410" i="3" s="1"/>
  <c r="L526" i="3"/>
  <c r="AK151" i="11" s="1"/>
  <c r="Z147" i="3"/>
  <c r="AY78" i="11"/>
  <c r="Z162" i="3"/>
  <c r="Z163" i="3" s="1"/>
  <c r="AY143" i="11" s="1"/>
  <c r="AY146" i="11" s="1"/>
  <c r="Z154" i="3"/>
  <c r="Z148" i="3"/>
  <c r="AY80" i="11" s="1"/>
  <c r="AC131" i="3"/>
  <c r="AC136" i="3" s="1"/>
  <c r="AC506" i="3" s="1"/>
  <c r="Y14" i="3"/>
  <c r="AX136" i="11"/>
  <c r="Y372" i="3"/>
  <c r="Y382" i="3" s="1"/>
  <c r="Y388" i="3" s="1"/>
  <c r="Y54" i="3" s="1"/>
  <c r="Z153" i="3"/>
  <c r="AY23" i="11" s="1"/>
  <c r="AY22" i="11"/>
  <c r="X51" i="3"/>
  <c r="X28" i="3"/>
  <c r="Y451" i="3"/>
  <c r="AZ75" i="11"/>
  <c r="AA137" i="3"/>
  <c r="X460" i="3"/>
  <c r="X461" i="3" s="1"/>
  <c r="X464" i="3" s="1"/>
  <c r="Y454" i="3"/>
  <c r="Y302" i="3"/>
  <c r="Y298" i="3"/>
  <c r="Y301" i="3" s="1"/>
  <c r="Y306" i="3" s="1"/>
  <c r="Y384" i="3"/>
  <c r="Y303" i="3"/>
  <c r="Y21" i="3" s="1"/>
  <c r="AX139" i="11" s="1"/>
  <c r="Y446" i="3"/>
  <c r="AC103" i="3"/>
  <c r="AD383" i="3"/>
  <c r="AD389" i="3" s="1"/>
  <c r="AD55" i="3" s="1"/>
  <c r="AD263" i="3"/>
  <c r="R22" i="2" s="1"/>
  <c r="AD295" i="3"/>
  <c r="AD258" i="3"/>
  <c r="AD259" i="3" s="1"/>
  <c r="Y414" i="3" l="1"/>
  <c r="Y422" i="3" s="1"/>
  <c r="Y104" i="3"/>
  <c r="Z155" i="3"/>
  <c r="Z156" i="3" s="1"/>
  <c r="AY12" i="11" s="1"/>
  <c r="Y16" i="3"/>
  <c r="Y509" i="3" s="1"/>
  <c r="Y514" i="3" s="1"/>
  <c r="Y19" i="3"/>
  <c r="AX137" i="11" s="1"/>
  <c r="Y507" i="3"/>
  <c r="AA138" i="3"/>
  <c r="AB135" i="3" s="1"/>
  <c r="AA510" i="3"/>
  <c r="AC151" i="3"/>
  <c r="BB21" i="11" s="1"/>
  <c r="BB76" i="11"/>
  <c r="AC159" i="3"/>
  <c r="AC132" i="3"/>
  <c r="AD129" i="3" s="1"/>
  <c r="X95" i="3"/>
  <c r="AD103" i="3"/>
  <c r="Y102" i="3"/>
  <c r="Y305" i="3"/>
  <c r="Y304" i="3"/>
  <c r="Z444" i="3"/>
  <c r="Y459" i="3"/>
  <c r="Z435" i="3"/>
  <c r="Z441" i="3" s="1"/>
  <c r="AY13" i="11"/>
  <c r="Z164" i="3"/>
  <c r="AY14" i="11" s="1"/>
  <c r="AA158" i="3"/>
  <c r="Z292" i="3"/>
  <c r="Z275" i="3"/>
  <c r="Z280" i="3" s="1"/>
  <c r="Z260" i="3"/>
  <c r="AZ77" i="11"/>
  <c r="AA160" i="3"/>
  <c r="AA161" i="3" s="1"/>
  <c r="AA152" i="3"/>
  <c r="AA146" i="3"/>
  <c r="AZ79" i="11" s="1"/>
  <c r="Y307" i="3"/>
  <c r="Y92" i="3"/>
  <c r="Y390" i="3"/>
  <c r="Y27" i="3"/>
  <c r="Y51" i="3" s="1"/>
  <c r="Y455" i="3"/>
  <c r="Y456" i="3" s="1"/>
  <c r="Y418" i="3" l="1"/>
  <c r="Y419" i="3" s="1"/>
  <c r="Y423" i="3" s="1"/>
  <c r="Y105" i="3"/>
  <c r="Y57" i="3"/>
  <c r="AX140" i="11"/>
  <c r="AZ78" i="11"/>
  <c r="Y22" i="3"/>
  <c r="Y24" i="3" s="1"/>
  <c r="AX142" i="11" s="1"/>
  <c r="Z404" i="3"/>
  <c r="Z417" i="3" s="1"/>
  <c r="Z166" i="3"/>
  <c r="AY11" i="11"/>
  <c r="AA150" i="3"/>
  <c r="Z10" i="3"/>
  <c r="Z371" i="3"/>
  <c r="Z381" i="3" s="1"/>
  <c r="Z387" i="3" s="1"/>
  <c r="Z53" i="3" s="1"/>
  <c r="AA147" i="3"/>
  <c r="AA148" i="3"/>
  <c r="AZ80" i="11" s="1"/>
  <c r="AA162" i="3"/>
  <c r="AA163" i="3" s="1"/>
  <c r="AZ143" i="11" s="1"/>
  <c r="AZ146" i="11" s="1"/>
  <c r="Y513" i="3"/>
  <c r="Y516" i="3" s="1"/>
  <c r="AA154" i="3"/>
  <c r="AA153" i="3"/>
  <c r="AZ23" i="11" s="1"/>
  <c r="AZ22" i="11"/>
  <c r="BA75" i="11"/>
  <c r="AB137" i="3"/>
  <c r="AB510" i="3" s="1"/>
  <c r="Z281" i="3"/>
  <c r="Z13" i="3"/>
  <c r="Y56" i="3"/>
  <c r="Y392" i="3"/>
  <c r="Z297" i="3"/>
  <c r="Z296" i="3"/>
  <c r="Z445" i="3"/>
  <c r="Z320" i="3"/>
  <c r="Z62" i="3"/>
  <c r="Z63" i="3" s="1"/>
  <c r="Y460" i="3"/>
  <c r="Y461" i="3" s="1"/>
  <c r="Y464" i="3" s="1"/>
  <c r="Z454" i="3"/>
  <c r="Y28" i="3" l="1"/>
  <c r="Y335" i="3"/>
  <c r="AX141" i="11"/>
  <c r="Z412" i="3"/>
  <c r="Z104" i="3" s="1"/>
  <c r="Y515" i="3"/>
  <c r="Z411" i="3"/>
  <c r="Z91" i="3"/>
  <c r="AD131" i="3"/>
  <c r="AD136" i="3" s="1"/>
  <c r="AD506" i="3" s="1"/>
  <c r="Y95" i="3"/>
  <c r="Z372" i="3"/>
  <c r="Z382" i="3" s="1"/>
  <c r="Z102" i="3" s="1"/>
  <c r="AA155" i="3"/>
  <c r="AZ11" i="11" s="1"/>
  <c r="Z14" i="3"/>
  <c r="AY136" i="11"/>
  <c r="Z446" i="3"/>
  <c r="Z450" i="3"/>
  <c r="Z298" i="3"/>
  <c r="Z301" i="3" s="1"/>
  <c r="Z306" i="3" s="1"/>
  <c r="Z302" i="3"/>
  <c r="AB138" i="3"/>
  <c r="AC135" i="3" s="1"/>
  <c r="BA77" i="11"/>
  <c r="AB152" i="3"/>
  <c r="AB160" i="3"/>
  <c r="AB161" i="3" s="1"/>
  <c r="AB146" i="3"/>
  <c r="BA79" i="11" s="1"/>
  <c r="Z303" i="3"/>
  <c r="Z21" i="3" s="1"/>
  <c r="AY139" i="11" s="1"/>
  <c r="Z384" i="3"/>
  <c r="AA435" i="3"/>
  <c r="AA441" i="3" s="1"/>
  <c r="AB158" i="3"/>
  <c r="AZ13" i="11"/>
  <c r="AA260" i="3"/>
  <c r="AA275" i="3"/>
  <c r="AA280" i="3" s="1"/>
  <c r="AA164" i="3"/>
  <c r="AZ14" i="11" s="1"/>
  <c r="AA292" i="3"/>
  <c r="Z105" i="3" l="1"/>
  <c r="AA410" i="3"/>
  <c r="Z414" i="3"/>
  <c r="Z422" i="3" s="1"/>
  <c r="Z16" i="3"/>
  <c r="Z509" i="3" s="1"/>
  <c r="Z514" i="3" s="1"/>
  <c r="Z19" i="3"/>
  <c r="AY137" i="11" s="1"/>
  <c r="Z507" i="3"/>
  <c r="BC76" i="11"/>
  <c r="AG87" i="11" s="1"/>
  <c r="AD151" i="3"/>
  <c r="BC21" i="11" s="1"/>
  <c r="AD159" i="3"/>
  <c r="AD132" i="3"/>
  <c r="AA156" i="3"/>
  <c r="AZ12" i="11" s="1"/>
  <c r="AA10" i="3"/>
  <c r="AB150" i="3"/>
  <c r="AA404" i="3"/>
  <c r="AA411" i="3" s="1"/>
  <c r="AA166" i="3"/>
  <c r="Z388" i="3"/>
  <c r="Z54" i="3" s="1"/>
  <c r="AA371" i="3"/>
  <c r="AA381" i="3" s="1"/>
  <c r="AA91" i="3" s="1"/>
  <c r="AB153" i="3"/>
  <c r="BA23" i="11" s="1"/>
  <c r="BA22" i="11"/>
  <c r="AA13" i="3"/>
  <c r="AA281" i="3"/>
  <c r="BA78" i="11"/>
  <c r="AB162" i="3"/>
  <c r="AB163" i="3" s="1"/>
  <c r="BA143" i="11" s="1"/>
  <c r="BA146" i="11" s="1"/>
  <c r="AB154" i="3"/>
  <c r="AB147" i="3"/>
  <c r="AB148" i="3"/>
  <c r="BA80" i="11" s="1"/>
  <c r="AA297" i="3"/>
  <c r="AA296" i="3"/>
  <c r="Z305" i="3"/>
  <c r="Z304" i="3"/>
  <c r="AA320" i="3"/>
  <c r="AA62" i="3"/>
  <c r="AA63" i="3" s="1"/>
  <c r="AA445" i="3"/>
  <c r="AA450" i="3" s="1"/>
  <c r="Z451" i="3"/>
  <c r="Z307" i="3"/>
  <c r="AA444" i="3"/>
  <c r="Z459" i="3"/>
  <c r="Z92" i="3"/>
  <c r="Z390" i="3"/>
  <c r="Z56" i="3" s="1"/>
  <c r="Z22" i="3" l="1"/>
  <c r="Z335" i="3" s="1"/>
  <c r="Z418" i="3"/>
  <c r="Z419" i="3" s="1"/>
  <c r="Z423" i="3" s="1"/>
  <c r="Z57" i="3"/>
  <c r="AY140" i="11"/>
  <c r="Z513" i="3"/>
  <c r="Z515" i="3" s="1"/>
  <c r="AA387" i="3"/>
  <c r="AA53" i="3" s="1"/>
  <c r="AA412" i="3"/>
  <c r="AB410" i="3" s="1"/>
  <c r="AB155" i="3"/>
  <c r="AB404" i="3" s="1"/>
  <c r="AA417" i="3"/>
  <c r="AA14" i="3"/>
  <c r="AZ136" i="11"/>
  <c r="AA446" i="3"/>
  <c r="AA303" i="3"/>
  <c r="AA21" i="3" s="1"/>
  <c r="AZ139" i="11" s="1"/>
  <c r="AA384" i="3"/>
  <c r="AA302" i="3"/>
  <c r="AA298" i="3"/>
  <c r="AA301" i="3" s="1"/>
  <c r="AA306" i="3" s="1"/>
  <c r="Z392" i="3"/>
  <c r="BB75" i="11"/>
  <c r="AC137" i="3"/>
  <c r="AA372" i="3"/>
  <c r="AA382" i="3" s="1"/>
  <c r="AB435" i="3"/>
  <c r="AB441" i="3" s="1"/>
  <c r="BA13" i="11"/>
  <c r="AB275" i="3"/>
  <c r="AB280" i="3" s="1"/>
  <c r="AB292" i="3"/>
  <c r="AB260" i="3"/>
  <c r="AC158" i="3"/>
  <c r="AB164" i="3"/>
  <c r="BA14" i="11" s="1"/>
  <c r="AA451" i="3"/>
  <c r="Z27" i="3"/>
  <c r="Z455" i="3"/>
  <c r="Z456" i="3" s="1"/>
  <c r="Z24" i="3" l="1"/>
  <c r="AY142" i="11" s="1"/>
  <c r="AY141" i="11"/>
  <c r="Z516" i="3"/>
  <c r="AA16" i="3"/>
  <c r="AZ140" i="11" s="1"/>
  <c r="M523" i="3"/>
  <c r="M525" i="3" s="1"/>
  <c r="AA414" i="3"/>
  <c r="AA422" i="3" s="1"/>
  <c r="AB166" i="3"/>
  <c r="AB10" i="3"/>
  <c r="AC138" i="3"/>
  <c r="AD135" i="3" s="1"/>
  <c r="AC510" i="3"/>
  <c r="AA19" i="3"/>
  <c r="AZ137" i="11" s="1"/>
  <c r="AA507" i="3"/>
  <c r="AB156" i="3"/>
  <c r="BA12" i="11" s="1"/>
  <c r="BA11" i="11"/>
  <c r="AA104" i="3"/>
  <c r="AB371" i="3"/>
  <c r="AB381" i="3" s="1"/>
  <c r="AB387" i="3" s="1"/>
  <c r="AC150" i="3"/>
  <c r="AB444" i="3"/>
  <c r="AA459" i="3"/>
  <c r="AB417" i="3"/>
  <c r="AB411" i="3"/>
  <c r="AB412" i="3"/>
  <c r="AA27" i="3"/>
  <c r="AA51" i="3" s="1"/>
  <c r="AA455" i="3"/>
  <c r="AA102" i="3"/>
  <c r="AA388" i="3"/>
  <c r="AA92" i="3"/>
  <c r="AA390" i="3"/>
  <c r="AA56" i="3" s="1"/>
  <c r="AB296" i="3"/>
  <c r="AB297" i="3"/>
  <c r="AB320" i="3"/>
  <c r="AB62" i="3"/>
  <c r="AB63" i="3" s="1"/>
  <c r="AB445" i="3"/>
  <c r="AB450" i="3" s="1"/>
  <c r="AA304" i="3"/>
  <c r="AA305" i="3"/>
  <c r="AA307" i="3"/>
  <c r="Z460" i="3"/>
  <c r="Z461" i="3" s="1"/>
  <c r="Z464" i="3" s="1"/>
  <c r="AA454" i="3"/>
  <c r="Z51" i="3"/>
  <c r="Z28" i="3"/>
  <c r="AB13" i="3"/>
  <c r="AB281" i="3"/>
  <c r="BB77" i="11"/>
  <c r="AC160" i="3"/>
  <c r="AC161" i="3" s="1"/>
  <c r="AC152" i="3"/>
  <c r="AC146" i="3"/>
  <c r="BB79" i="11" s="1"/>
  <c r="AA509" i="3" l="1"/>
  <c r="AA514" i="3" s="1"/>
  <c r="AC162" i="3"/>
  <c r="AC163" i="3" s="1"/>
  <c r="BB143" i="11" s="1"/>
  <c r="BB146" i="11" s="1"/>
  <c r="AC147" i="3"/>
  <c r="AC154" i="3"/>
  <c r="AC148" i="3"/>
  <c r="BB80" i="11" s="1"/>
  <c r="BB78" i="11"/>
  <c r="AA418" i="3"/>
  <c r="AA419" i="3" s="1"/>
  <c r="AA423" i="3" s="1"/>
  <c r="AA105" i="3"/>
  <c r="AA57" i="3"/>
  <c r="AA513" i="3"/>
  <c r="M524" i="3"/>
  <c r="M527" i="3" s="1"/>
  <c r="AL152" i="11" s="1"/>
  <c r="AB91" i="3"/>
  <c r="AA22" i="3"/>
  <c r="AA335" i="3" s="1"/>
  <c r="Z95" i="3"/>
  <c r="AB446" i="3"/>
  <c r="AB459" i="3" s="1"/>
  <c r="AB14" i="3"/>
  <c r="BA136" i="11"/>
  <c r="AC153" i="3"/>
  <c r="BB23" i="11" s="1"/>
  <c r="BB22" i="11"/>
  <c r="AB384" i="3"/>
  <c r="AB303" i="3"/>
  <c r="AB21" i="3" s="1"/>
  <c r="BA139" i="11" s="1"/>
  <c r="BC75" i="11"/>
  <c r="AD137" i="3"/>
  <c r="AD510" i="3" s="1"/>
  <c r="AA456" i="3"/>
  <c r="AA54" i="3"/>
  <c r="AA392" i="3"/>
  <c r="AB53" i="3"/>
  <c r="AB302" i="3"/>
  <c r="AB298" i="3"/>
  <c r="AB301" i="3" s="1"/>
  <c r="AB307" i="3" s="1"/>
  <c r="AB451" i="3"/>
  <c r="AC410" i="3"/>
  <c r="AB104" i="3"/>
  <c r="AB414" i="3"/>
  <c r="AB422" i="3" s="1"/>
  <c r="AB372" i="3"/>
  <c r="AB382" i="3" s="1"/>
  <c r="AA516" i="3" l="1"/>
  <c r="AA515" i="3"/>
  <c r="M526" i="3"/>
  <c r="AL151" i="11" s="1"/>
  <c r="AB16" i="3"/>
  <c r="AB509" i="3" s="1"/>
  <c r="AB514" i="3" s="1"/>
  <c r="AA28" i="3"/>
  <c r="AZ141" i="11"/>
  <c r="AC444" i="3"/>
  <c r="AB19" i="3"/>
  <c r="BA137" i="11" s="1"/>
  <c r="AB507" i="3"/>
  <c r="AA24" i="3"/>
  <c r="AZ142" i="11" s="1"/>
  <c r="BB13" i="11"/>
  <c r="AC435" i="3"/>
  <c r="AC441" i="3" s="1"/>
  <c r="AC320" i="3" s="1"/>
  <c r="AC260" i="3"/>
  <c r="AC164" i="3"/>
  <c r="BB14" i="11" s="1"/>
  <c r="AD158" i="3"/>
  <c r="AC275" i="3"/>
  <c r="AC280" i="3" s="1"/>
  <c r="AC13" i="3" s="1"/>
  <c r="BB136" i="11" s="1"/>
  <c r="AC292" i="3"/>
  <c r="AC297" i="3" s="1"/>
  <c r="AC155" i="3"/>
  <c r="AA460" i="3"/>
  <c r="AA461" i="3" s="1"/>
  <c r="AA464" i="3" s="1"/>
  <c r="AB454" i="3"/>
  <c r="AB388" i="3"/>
  <c r="AB102" i="3"/>
  <c r="AB105" i="3" s="1"/>
  <c r="AB418" i="3"/>
  <c r="AB419" i="3" s="1"/>
  <c r="AB423" i="3" s="1"/>
  <c r="AB57" i="3"/>
  <c r="AB92" i="3"/>
  <c r="AB390" i="3"/>
  <c r="AB56" i="3" s="1"/>
  <c r="AB306" i="3"/>
  <c r="AB304" i="3"/>
  <c r="AB305" i="3"/>
  <c r="AD138" i="3"/>
  <c r="BC77" i="11"/>
  <c r="AG88" i="11" s="1"/>
  <c r="AD152" i="3"/>
  <c r="AD160" i="3"/>
  <c r="AD161" i="3" s="1"/>
  <c r="AD146" i="3"/>
  <c r="BC79" i="11" s="1"/>
  <c r="AB27" i="3"/>
  <c r="AB51" i="3" s="1"/>
  <c r="AB455" i="3"/>
  <c r="BA140" i="11" l="1"/>
  <c r="AB22" i="3"/>
  <c r="AB335" i="3" s="1"/>
  <c r="AC62" i="3"/>
  <c r="AC63" i="3" s="1"/>
  <c r="AC445" i="3"/>
  <c r="AC450" i="3" s="1"/>
  <c r="AC451" i="3" s="1"/>
  <c r="AB513" i="3"/>
  <c r="AB516" i="3" s="1"/>
  <c r="AA95" i="3"/>
  <c r="AC296" i="3"/>
  <c r="AC372" i="3" s="1"/>
  <c r="AC382" i="3" s="1"/>
  <c r="AC281" i="3"/>
  <c r="AB456" i="3"/>
  <c r="AD153" i="3"/>
  <c r="BC23" i="11" s="1"/>
  <c r="BC22" i="11"/>
  <c r="AC166" i="3"/>
  <c r="AD150" i="3"/>
  <c r="AC156" i="3"/>
  <c r="BB12" i="11" s="1"/>
  <c r="AC404" i="3"/>
  <c r="BB11" i="11"/>
  <c r="AC371" i="3"/>
  <c r="AC381" i="3" s="1"/>
  <c r="AC10" i="3"/>
  <c r="AC14" i="3" s="1"/>
  <c r="BC78" i="11"/>
  <c r="AG89" i="11" s="1"/>
  <c r="AD147" i="3"/>
  <c r="AD154" i="3"/>
  <c r="AD148" i="3"/>
  <c r="BC80" i="11" s="1"/>
  <c r="AD162" i="3"/>
  <c r="AD163" i="3" s="1"/>
  <c r="AC384" i="3"/>
  <c r="AC303" i="3"/>
  <c r="AC21" i="3" s="1"/>
  <c r="BB139" i="11" s="1"/>
  <c r="AB54" i="3"/>
  <c r="AB392" i="3"/>
  <c r="BA141" i="11" l="1"/>
  <c r="AB24" i="3"/>
  <c r="BA142" i="11" s="1"/>
  <c r="AB515" i="3"/>
  <c r="AB28" i="3"/>
  <c r="AG158" i="11"/>
  <c r="D559" i="3"/>
  <c r="AC446" i="3"/>
  <c r="AC459" i="3" s="1"/>
  <c r="AC16" i="3"/>
  <c r="BB140" i="11" s="1"/>
  <c r="AB460" i="3"/>
  <c r="AB461" i="3" s="1"/>
  <c r="AB464" i="3" s="1"/>
  <c r="AC298" i="3"/>
  <c r="AC301" i="3" s="1"/>
  <c r="AC304" i="3" s="1"/>
  <c r="AC302" i="3"/>
  <c r="AC454" i="3"/>
  <c r="BC143" i="11"/>
  <c r="BC146" i="11" s="1"/>
  <c r="AD155" i="3"/>
  <c r="AD10" i="3" s="1"/>
  <c r="AC387" i="3"/>
  <c r="AC53" i="3" s="1"/>
  <c r="AC91" i="3"/>
  <c r="AC411" i="3"/>
  <c r="AC412" i="3"/>
  <c r="AC417" i="3"/>
  <c r="AC388" i="3"/>
  <c r="AC102" i="3"/>
  <c r="AC390" i="3"/>
  <c r="AC56" i="3" s="1"/>
  <c r="AC92" i="3"/>
  <c r="AD292" i="3"/>
  <c r="AD435" i="3"/>
  <c r="AD441" i="3" s="1"/>
  <c r="AD260" i="3"/>
  <c r="AD164" i="3"/>
  <c r="BC14" i="11" s="1"/>
  <c r="BC13" i="11"/>
  <c r="AD275" i="3"/>
  <c r="AD280" i="3" s="1"/>
  <c r="AC27" i="3"/>
  <c r="AC51" i="3" s="1"/>
  <c r="AC455" i="3"/>
  <c r="L297" i="11" l="1"/>
  <c r="J55" i="12"/>
  <c r="AD444" i="3"/>
  <c r="AC509" i="3"/>
  <c r="AC514" i="3" s="1"/>
  <c r="AC19" i="3"/>
  <c r="BB137" i="11" s="1"/>
  <c r="AC507" i="3"/>
  <c r="AB95" i="3"/>
  <c r="AC306" i="3"/>
  <c r="AC307" i="3"/>
  <c r="AC305" i="3"/>
  <c r="AC456" i="3"/>
  <c r="AC460" i="3" s="1"/>
  <c r="AC461" i="3" s="1"/>
  <c r="AD404" i="3"/>
  <c r="AD412" i="3" s="1"/>
  <c r="BC11" i="11"/>
  <c r="AD156" i="3"/>
  <c r="BC12" i="11" s="1"/>
  <c r="AD166" i="3"/>
  <c r="R21" i="2" s="1"/>
  <c r="AD371" i="3"/>
  <c r="AD381" i="3" s="1"/>
  <c r="AC104" i="3"/>
  <c r="AC105" i="3" s="1"/>
  <c r="AD410" i="3"/>
  <c r="AC414" i="3"/>
  <c r="AC422" i="3" s="1"/>
  <c r="AD13" i="3"/>
  <c r="AD281" i="3"/>
  <c r="AD445" i="3"/>
  <c r="AD320" i="3"/>
  <c r="AD62" i="3"/>
  <c r="AC392" i="3"/>
  <c r="AC54" i="3"/>
  <c r="AD297" i="3"/>
  <c r="AD296" i="3"/>
  <c r="AD91" i="3" l="1"/>
  <c r="AD63" i="3"/>
  <c r="Y301" i="11" s="1"/>
  <c r="J73" i="12"/>
  <c r="J41" i="12" s="1"/>
  <c r="J10" i="12"/>
  <c r="L298" i="11"/>
  <c r="J56" i="12"/>
  <c r="AD454" i="3"/>
  <c r="AC22" i="3"/>
  <c r="BB141" i="11" s="1"/>
  <c r="AC513" i="3"/>
  <c r="AC515" i="3" s="1"/>
  <c r="AD411" i="3"/>
  <c r="AC464" i="3"/>
  <c r="AC95" i="3"/>
  <c r="AD417" i="3"/>
  <c r="AD387" i="3"/>
  <c r="AD53" i="3" s="1"/>
  <c r="AD14" i="3"/>
  <c r="J57" i="12" s="1"/>
  <c r="BC136" i="11"/>
  <c r="AC57" i="3"/>
  <c r="AC418" i="3"/>
  <c r="AC419" i="3" s="1"/>
  <c r="AC423" i="3" s="1"/>
  <c r="AD298" i="3"/>
  <c r="AD301" i="3" s="1"/>
  <c r="AD306" i="3" s="1"/>
  <c r="AD302" i="3"/>
  <c r="AD450" i="3"/>
  <c r="AD451" i="3" s="1"/>
  <c r="AD446" i="3"/>
  <c r="AD384" i="3"/>
  <c r="AD303" i="3"/>
  <c r="AD21" i="3" s="1"/>
  <c r="AD372" i="3"/>
  <c r="AD382" i="3" s="1"/>
  <c r="AD104" i="3"/>
  <c r="AD414" i="3"/>
  <c r="J79" i="12" s="1"/>
  <c r="K10" i="12" l="1"/>
  <c r="K35" i="12" s="1"/>
  <c r="I200" i="12"/>
  <c r="Q265" i="12" s="1"/>
  <c r="Q263" i="12" s="1"/>
  <c r="J77" i="12"/>
  <c r="J35" i="12" s="1"/>
  <c r="AD422" i="3"/>
  <c r="J59" i="12"/>
  <c r="J12" i="12"/>
  <c r="AC335" i="3"/>
  <c r="AC24" i="3"/>
  <c r="BB142" i="11" s="1"/>
  <c r="AC28" i="3"/>
  <c r="N523" i="3"/>
  <c r="N525" i="3" s="1"/>
  <c r="H531" i="3"/>
  <c r="H533" i="3" s="1"/>
  <c r="AC516" i="3"/>
  <c r="AD19" i="3"/>
  <c r="L301" i="11" s="1"/>
  <c r="AD507" i="3"/>
  <c r="H532" i="3" s="1"/>
  <c r="AD459" i="3"/>
  <c r="AD307" i="3"/>
  <c r="BC139" i="11"/>
  <c r="L303" i="11"/>
  <c r="AD16" i="3"/>
  <c r="L300" i="11"/>
  <c r="AD418" i="3"/>
  <c r="AD419" i="3" s="1"/>
  <c r="AD423" i="3" s="1"/>
  <c r="AD57" i="3"/>
  <c r="AD390" i="3"/>
  <c r="AD56" i="3" s="1"/>
  <c r="AD92" i="3"/>
  <c r="AD388" i="3"/>
  <c r="AD102" i="3"/>
  <c r="AD105" i="3" s="1"/>
  <c r="L324" i="11" s="1"/>
  <c r="AD27" i="3"/>
  <c r="J66" i="12" s="1"/>
  <c r="J21" i="12" s="1"/>
  <c r="AD455" i="3"/>
  <c r="AD456" i="3" s="1"/>
  <c r="AD460" i="3" s="1"/>
  <c r="AD304" i="3"/>
  <c r="AD305" i="3"/>
  <c r="I205" i="12" l="1"/>
  <c r="O265" i="12"/>
  <c r="L10" i="12"/>
  <c r="M10" i="12" s="1"/>
  <c r="K12" i="12"/>
  <c r="K14" i="12" s="1"/>
  <c r="K21" i="12"/>
  <c r="K17" i="12"/>
  <c r="K19" i="12" s="1"/>
  <c r="K41" i="12"/>
  <c r="K36" i="12"/>
  <c r="K42" i="12" s="1"/>
  <c r="R24" i="2"/>
  <c r="J11" i="12"/>
  <c r="J14" i="12"/>
  <c r="J61" i="12"/>
  <c r="AD22" i="3"/>
  <c r="J62" i="12" s="1"/>
  <c r="BC137" i="11"/>
  <c r="AG162" i="11"/>
  <c r="R198" i="11" s="1"/>
  <c r="H535" i="3"/>
  <c r="AG163" i="11"/>
  <c r="R209" i="11" s="1"/>
  <c r="H534" i="3"/>
  <c r="N524" i="3"/>
  <c r="N527" i="3" s="1"/>
  <c r="AM152" i="11" s="1"/>
  <c r="AD513" i="3"/>
  <c r="BC140" i="11"/>
  <c r="AD509" i="3"/>
  <c r="AD514" i="3" s="1"/>
  <c r="AD461" i="3"/>
  <c r="AD464" i="3" s="1"/>
  <c r="R25" i="2" s="1"/>
  <c r="AD51" i="3"/>
  <c r="L306" i="11"/>
  <c r="AD392" i="3"/>
  <c r="AD54" i="3"/>
  <c r="Q251" i="12" l="1"/>
  <c r="I212" i="12"/>
  <c r="P265" i="12"/>
  <c r="O263" i="12"/>
  <c r="L17" i="12"/>
  <c r="L19" i="12" s="1"/>
  <c r="L21" i="12"/>
  <c r="L41" i="12"/>
  <c r="K39" i="12"/>
  <c r="L35" i="12"/>
  <c r="L36" i="12" s="1"/>
  <c r="L42" i="12" s="1"/>
  <c r="L12" i="12"/>
  <c r="L14" i="12" s="1"/>
  <c r="K11" i="12"/>
  <c r="K16" i="12"/>
  <c r="K22" i="12"/>
  <c r="K24" i="12" s="1"/>
  <c r="M35" i="12"/>
  <c r="M41" i="12"/>
  <c r="J78" i="12"/>
  <c r="M21" i="12"/>
  <c r="M17" i="12"/>
  <c r="J64" i="12"/>
  <c r="J17" i="12"/>
  <c r="I201" i="12" s="1"/>
  <c r="I209" i="12" s="1"/>
  <c r="N10" i="12"/>
  <c r="M12" i="12"/>
  <c r="L305" i="11"/>
  <c r="L559" i="3"/>
  <c r="AD28" i="3"/>
  <c r="J67" i="12" s="1"/>
  <c r="AD335" i="3"/>
  <c r="BC141" i="11"/>
  <c r="AG159" i="11" s="1"/>
  <c r="AG160" i="11" s="1"/>
  <c r="AD24" i="3"/>
  <c r="BC142" i="11" s="1"/>
  <c r="N526" i="3"/>
  <c r="AM151" i="11" s="1"/>
  <c r="AD515" i="3"/>
  <c r="AD516" i="3"/>
  <c r="AD95" i="3"/>
  <c r="L319" i="11" s="1"/>
  <c r="P263" i="12" l="1"/>
  <c r="L16" i="12"/>
  <c r="L39" i="12"/>
  <c r="L11" i="12"/>
  <c r="L22" i="12"/>
  <c r="L24" i="12" s="1"/>
  <c r="K40" i="12"/>
  <c r="K43" i="12" s="1"/>
  <c r="K94" i="12" s="1"/>
  <c r="K97" i="12" s="1"/>
  <c r="K99" i="12" s="1"/>
  <c r="M36" i="12"/>
  <c r="M42" i="12" s="1"/>
  <c r="J80" i="12"/>
  <c r="J36" i="12" s="1"/>
  <c r="J42" i="12" s="1"/>
  <c r="N35" i="12"/>
  <c r="N36" i="12" s="1"/>
  <c r="N42" i="12" s="1"/>
  <c r="N41" i="12"/>
  <c r="N21" i="12"/>
  <c r="M16" i="12"/>
  <c r="J39" i="12"/>
  <c r="M39" i="12"/>
  <c r="J69" i="12"/>
  <c r="J22" i="12"/>
  <c r="M19" i="12"/>
  <c r="M22" i="12"/>
  <c r="N17" i="12"/>
  <c r="J16" i="12"/>
  <c r="J19" i="12"/>
  <c r="M11" i="12"/>
  <c r="M14" i="12"/>
  <c r="O10" i="12"/>
  <c r="N12" i="12"/>
  <c r="L40" i="12" l="1"/>
  <c r="L43" i="12" s="1"/>
  <c r="L94" i="12" s="1"/>
  <c r="L97" i="12" s="1"/>
  <c r="L99" i="12" s="1"/>
  <c r="K138" i="12"/>
  <c r="K142" i="12" s="1"/>
  <c r="K144" i="12" s="1"/>
  <c r="K103" i="12"/>
  <c r="K109" i="12" s="1"/>
  <c r="K111" i="12" s="1"/>
  <c r="O35" i="12"/>
  <c r="O36" i="12" s="1"/>
  <c r="O42" i="12" s="1"/>
  <c r="O41" i="12"/>
  <c r="O21" i="12"/>
  <c r="M40" i="12"/>
  <c r="M43" i="12" s="1"/>
  <c r="J40" i="12"/>
  <c r="J43" i="12" s="1"/>
  <c r="N39" i="12"/>
  <c r="J24" i="12"/>
  <c r="M24" i="12"/>
  <c r="N16" i="12"/>
  <c r="N19" i="12"/>
  <c r="N22" i="12"/>
  <c r="O17" i="12"/>
  <c r="N11" i="12"/>
  <c r="N14" i="12"/>
  <c r="P10" i="12"/>
  <c r="O12" i="12"/>
  <c r="L138" i="12" l="1"/>
  <c r="L142" i="12" s="1"/>
  <c r="L144" i="12" s="1"/>
  <c r="K148" i="12"/>
  <c r="K150" i="12" s="1"/>
  <c r="K105" i="12"/>
  <c r="L103" i="12"/>
  <c r="L109" i="12" s="1"/>
  <c r="L111" i="12" s="1"/>
  <c r="J94" i="12"/>
  <c r="J97" i="12" s="1"/>
  <c r="J99" i="12" s="1"/>
  <c r="J138" i="12"/>
  <c r="J142" i="12" s="1"/>
  <c r="M94" i="12"/>
  <c r="M97" i="12" s="1"/>
  <c r="M103" i="12" s="1"/>
  <c r="M109" i="12" s="1"/>
  <c r="M111" i="12" s="1"/>
  <c r="M138" i="12"/>
  <c r="M142" i="12" s="1"/>
  <c r="P35" i="12"/>
  <c r="P36" i="12" s="1"/>
  <c r="P42" i="12" s="1"/>
  <c r="P41" i="12"/>
  <c r="P21" i="12"/>
  <c r="N40" i="12"/>
  <c r="N43" i="12" s="1"/>
  <c r="O16" i="12"/>
  <c r="O39" i="12"/>
  <c r="N24" i="12"/>
  <c r="O19" i="12"/>
  <c r="O22" i="12"/>
  <c r="P17" i="12"/>
  <c r="O11" i="12"/>
  <c r="O14" i="12"/>
  <c r="Q10" i="12"/>
  <c r="P12" i="12"/>
  <c r="L148" i="12" l="1"/>
  <c r="L150" i="12" s="1"/>
  <c r="K154" i="12"/>
  <c r="K156" i="12" s="1"/>
  <c r="J103" i="12"/>
  <c r="J109" i="12" s="1"/>
  <c r="M144" i="12"/>
  <c r="M148" i="12"/>
  <c r="J144" i="12"/>
  <c r="J148" i="12"/>
  <c r="M99" i="12"/>
  <c r="L105" i="12"/>
  <c r="N94" i="12"/>
  <c r="N97" i="12" s="1"/>
  <c r="N103" i="12" s="1"/>
  <c r="N109" i="12" s="1"/>
  <c r="N111" i="12" s="1"/>
  <c r="N138" i="12"/>
  <c r="N142" i="12" s="1"/>
  <c r="M105" i="12"/>
  <c r="Q35" i="12"/>
  <c r="Q36" i="12" s="1"/>
  <c r="Q42" i="12" s="1"/>
  <c r="Q41" i="12"/>
  <c r="Q21" i="12"/>
  <c r="O40" i="12"/>
  <c r="O43" i="12" s="1"/>
  <c r="P39" i="12"/>
  <c r="O24" i="12"/>
  <c r="P19" i="12"/>
  <c r="P22" i="12"/>
  <c r="P16" i="12"/>
  <c r="Q17" i="12"/>
  <c r="P11" i="12"/>
  <c r="P14" i="12"/>
  <c r="R10" i="12"/>
  <c r="Q12" i="12"/>
  <c r="L154" i="12" l="1"/>
  <c r="L156" i="12" s="1"/>
  <c r="J111" i="12"/>
  <c r="J105" i="12"/>
  <c r="J150" i="12"/>
  <c r="J154" i="12"/>
  <c r="M150" i="12"/>
  <c r="M154" i="12"/>
  <c r="M156" i="12" s="1"/>
  <c r="N144" i="12"/>
  <c r="N148" i="12"/>
  <c r="N99" i="12"/>
  <c r="O94" i="12"/>
  <c r="O97" i="12" s="1"/>
  <c r="O99" i="12" s="1"/>
  <c r="O138" i="12"/>
  <c r="O142" i="12" s="1"/>
  <c r="N105" i="12"/>
  <c r="R35" i="12"/>
  <c r="R36" i="12" s="1"/>
  <c r="R42" i="12" s="1"/>
  <c r="R41" i="12"/>
  <c r="P40" i="12"/>
  <c r="P43" i="12" s="1"/>
  <c r="Q16" i="12"/>
  <c r="Q39" i="12"/>
  <c r="R21" i="12"/>
  <c r="S10" i="12"/>
  <c r="P24" i="12"/>
  <c r="Q19" i="12"/>
  <c r="Q22" i="12"/>
  <c r="R17" i="12"/>
  <c r="Q11" i="12"/>
  <c r="Q14" i="12"/>
  <c r="R12" i="12"/>
  <c r="J156" i="12" l="1"/>
  <c r="N150" i="12"/>
  <c r="N154" i="12"/>
  <c r="N156" i="12" s="1"/>
  <c r="O103" i="12"/>
  <c r="O109" i="12" s="1"/>
  <c r="O144" i="12"/>
  <c r="O148" i="12"/>
  <c r="P94" i="12"/>
  <c r="P97" i="12" s="1"/>
  <c r="P99" i="12" s="1"/>
  <c r="P138" i="12"/>
  <c r="P142" i="12" s="1"/>
  <c r="O105" i="12"/>
  <c r="S35" i="12"/>
  <c r="S36" i="12" s="1"/>
  <c r="S42" i="12" s="1"/>
  <c r="S41" i="12"/>
  <c r="Q40" i="12"/>
  <c r="Q43" i="12" s="1"/>
  <c r="R16" i="12"/>
  <c r="R39" i="12"/>
  <c r="S12" i="12"/>
  <c r="S17" i="12"/>
  <c r="S139" i="12" s="1"/>
  <c r="S21" i="12"/>
  <c r="Q24" i="12"/>
  <c r="R19" i="12"/>
  <c r="R22" i="12"/>
  <c r="R11" i="12"/>
  <c r="R14" i="12"/>
  <c r="P103" i="12" l="1"/>
  <c r="P109" i="12" s="1"/>
  <c r="P111" i="12" s="1"/>
  <c r="S143" i="12"/>
  <c r="S149" i="12" s="1"/>
  <c r="S155" i="12" s="1"/>
  <c r="K162" i="12" s="1"/>
  <c r="O111" i="12"/>
  <c r="O150" i="12"/>
  <c r="O154" i="12"/>
  <c r="O156" i="12" s="1"/>
  <c r="P144" i="12"/>
  <c r="P148" i="12"/>
  <c r="Q94" i="12"/>
  <c r="Q97" i="12" s="1"/>
  <c r="Q99" i="12" s="1"/>
  <c r="Q138" i="12"/>
  <c r="Q142" i="12" s="1"/>
  <c r="R40" i="12"/>
  <c r="R43" i="12" s="1"/>
  <c r="S39" i="12"/>
  <c r="S22" i="12"/>
  <c r="S19" i="12"/>
  <c r="S16" i="12"/>
  <c r="S11" i="12"/>
  <c r="S14" i="12"/>
  <c r="R24" i="12"/>
  <c r="P105" i="12" l="1"/>
  <c r="P150" i="12"/>
  <c r="P154" i="12"/>
  <c r="P156" i="12" s="1"/>
  <c r="Q144" i="12"/>
  <c r="Q148" i="12"/>
  <c r="Q103" i="12"/>
  <c r="Q109" i="12" s="1"/>
  <c r="R94" i="12"/>
  <c r="R97" i="12" s="1"/>
  <c r="R103" i="12" s="1"/>
  <c r="R109" i="12" s="1"/>
  <c r="R138" i="12"/>
  <c r="R142" i="12" s="1"/>
  <c r="S40" i="12"/>
  <c r="S43" i="12" s="1"/>
  <c r="S24" i="12"/>
  <c r="Q105" i="12" l="1"/>
  <c r="Q111" i="12"/>
  <c r="K116" i="12"/>
  <c r="Q150" i="12"/>
  <c r="Q154" i="12"/>
  <c r="Q156" i="12" s="1"/>
  <c r="R144" i="12"/>
  <c r="R148" i="12"/>
  <c r="S94" i="12"/>
  <c r="R98" i="12" s="1"/>
  <c r="R104" i="12" s="1"/>
  <c r="S138" i="12"/>
  <c r="S142" i="12" s="1"/>
  <c r="R150" i="12" l="1"/>
  <c r="R154" i="12"/>
  <c r="S144" i="12"/>
  <c r="S148" i="12"/>
  <c r="R110" i="12"/>
  <c r="K117" i="12" s="1"/>
  <c r="R99" i="12"/>
  <c r="S154" i="12" l="1"/>
  <c r="K161" i="12" s="1"/>
  <c r="K163" i="12" s="1"/>
  <c r="R156" i="12"/>
  <c r="S150" i="12"/>
  <c r="R105" i="12"/>
  <c r="R111" i="12"/>
  <c r="K120" i="12" s="1"/>
  <c r="K166" i="12" l="1"/>
  <c r="S156" i="12"/>
  <c r="K165" i="12" s="1"/>
  <c r="J162" i="12"/>
  <c r="K121" i="12"/>
  <c r="K118" i="12"/>
  <c r="P161" i="12" l="1"/>
  <c r="P116" i="12"/>
  <c r="J163" i="12"/>
  <c r="J161" i="12"/>
  <c r="J117" i="12"/>
  <c r="J116" i="12"/>
  <c r="J118" i="12"/>
  <c r="Q249" i="12" l="1"/>
  <c r="K282" i="12"/>
  <c r="Q250" i="12"/>
  <c r="C282" i="12"/>
  <c r="Q253" i="12" l="1"/>
  <c r="G354" i="3" l="1" a="1"/>
  <c r="G354" i="3" s="1"/>
  <c r="R19" i="2" l="1"/>
  <c r="R20" i="2"/>
  <c r="R23" i="2"/>
  <c r="AF225" i="11"/>
  <c r="AG225" i="11"/>
  <c r="AH225" i="11"/>
  <c r="AI225" i="11"/>
  <c r="AJ225" i="11"/>
  <c r="AK225" i="11"/>
  <c r="AL225" i="11"/>
  <c r="AM225" i="11"/>
  <c r="AN225" i="11"/>
  <c r="AO225" i="11"/>
  <c r="AP225" i="11"/>
  <c r="AQ225" i="11"/>
  <c r="AR225" i="11"/>
  <c r="AS225" i="11"/>
  <c r="AT225" i="11"/>
  <c r="AU225" i="11"/>
  <c r="AV225" i="11"/>
  <c r="AW225" i="11"/>
  <c r="AX225" i="11"/>
  <c r="AY225" i="11"/>
  <c r="AZ225" i="11"/>
  <c r="BA225" i="11"/>
  <c r="BB225" i="11"/>
  <c r="BC225" i="11"/>
  <c r="AG226" i="11"/>
  <c r="AH226" i="11"/>
  <c r="AI226" i="11"/>
  <c r="AJ226" i="11"/>
  <c r="AK226" i="11"/>
  <c r="AL226" i="11"/>
  <c r="AM226" i="11"/>
  <c r="AN226" i="11"/>
  <c r="AO226" i="11"/>
  <c r="AP226" i="11"/>
  <c r="AQ226" i="11"/>
  <c r="AR226" i="11"/>
  <c r="AS226" i="11"/>
  <c r="AT226" i="11"/>
  <c r="AU226" i="11"/>
  <c r="AV226" i="11"/>
  <c r="AW226" i="11"/>
  <c r="AX226" i="11"/>
  <c r="AY226" i="11"/>
  <c r="AZ226" i="11"/>
  <c r="BA226" i="11"/>
  <c r="BB226" i="11"/>
  <c r="BC226" i="11"/>
  <c r="AG227" i="11"/>
  <c r="AH227" i="11"/>
  <c r="AI227" i="11"/>
  <c r="AJ227" i="11"/>
  <c r="AK227" i="11"/>
  <c r="AL227" i="11"/>
  <c r="AM227" i="11"/>
  <c r="AN227" i="11"/>
  <c r="AO227" i="11"/>
  <c r="AP227" i="11"/>
  <c r="AQ227" i="11"/>
  <c r="AR227" i="11"/>
  <c r="AS227" i="11"/>
  <c r="AT227" i="11"/>
  <c r="AU227" i="11"/>
  <c r="AV227" i="11"/>
  <c r="AW227" i="11"/>
  <c r="AX227" i="11"/>
  <c r="AY227" i="11"/>
  <c r="AZ227" i="11"/>
  <c r="BA227" i="11"/>
  <c r="BB227" i="11"/>
  <c r="BC227" i="11"/>
  <c r="Q230" i="11"/>
  <c r="U230" i="11"/>
  <c r="AF233" i="11"/>
  <c r="AG233" i="11"/>
  <c r="AH233" i="11"/>
  <c r="AI233" i="11"/>
  <c r="AJ233" i="11"/>
  <c r="AK233" i="11"/>
  <c r="AL233" i="11"/>
  <c r="AM233" i="11"/>
  <c r="AF234" i="11"/>
  <c r="AG234" i="11"/>
  <c r="AH234" i="11"/>
  <c r="AI234" i="11"/>
  <c r="AJ234" i="11"/>
  <c r="AK234" i="11"/>
  <c r="AL234" i="11"/>
  <c r="AM234" i="11"/>
  <c r="Q239" i="11"/>
  <c r="U239" i="11"/>
  <c r="AF240" i="11"/>
  <c r="T245" i="11"/>
  <c r="T246" i="11"/>
  <c r="AG259" i="11"/>
  <c r="AH259" i="11"/>
  <c r="AI259" i="11"/>
  <c r="AJ259" i="11"/>
  <c r="AK259" i="11"/>
  <c r="AL259" i="11"/>
  <c r="AM259" i="11"/>
  <c r="AN259" i="11"/>
  <c r="AO259" i="11"/>
  <c r="AP259" i="11"/>
  <c r="AQ259" i="11"/>
  <c r="AR259" i="11"/>
  <c r="AS259" i="11"/>
  <c r="AT259" i="11"/>
  <c r="AU259" i="11"/>
  <c r="AV259" i="11"/>
  <c r="AW259" i="11"/>
  <c r="AX259" i="11"/>
  <c r="AY259" i="11"/>
  <c r="AZ259" i="11"/>
  <c r="BA259" i="11"/>
  <c r="BB259" i="11"/>
  <c r="BC259" i="11"/>
  <c r="Q264" i="11"/>
  <c r="V265" i="11"/>
  <c r="Q266" i="11"/>
  <c r="AF266" i="11"/>
  <c r="AF267" i="11"/>
  <c r="AF268" i="11"/>
  <c r="AF269" i="11"/>
  <c r="T276" i="11"/>
  <c r="W276" i="11"/>
  <c r="Q277" i="11"/>
  <c r="Y297" i="11"/>
  <c r="W300" i="11"/>
  <c r="Y300" i="11"/>
  <c r="W302" i="11"/>
  <c r="Y302" i="11"/>
  <c r="W304" i="11"/>
  <c r="Y304" i="11"/>
  <c r="W306" i="11"/>
  <c r="Y306" i="11"/>
  <c r="J307" i="11"/>
  <c r="L307" i="11"/>
  <c r="J308" i="11"/>
  <c r="L308" i="11"/>
  <c r="J310" i="11"/>
  <c r="L310" i="11"/>
  <c r="J318" i="11"/>
  <c r="L318" i="11"/>
  <c r="J321" i="11"/>
  <c r="L321" i="11"/>
  <c r="J325" i="11"/>
  <c r="L325" i="11"/>
  <c r="J327" i="11"/>
  <c r="L327" i="11"/>
  <c r="H31" i="3"/>
  <c r="I31" i="3"/>
  <c r="J31" i="3"/>
  <c r="K31" i="3"/>
  <c r="L31" i="3"/>
  <c r="M31" i="3"/>
  <c r="N31" i="3"/>
  <c r="O31" i="3"/>
  <c r="P31" i="3"/>
  <c r="Q31" i="3"/>
  <c r="R31" i="3"/>
  <c r="S31" i="3"/>
  <c r="T31" i="3"/>
  <c r="U31" i="3"/>
  <c r="V31" i="3"/>
  <c r="W31" i="3"/>
  <c r="X31" i="3"/>
  <c r="Y31" i="3"/>
  <c r="Z31" i="3"/>
  <c r="AA31" i="3"/>
  <c r="AB31" i="3"/>
  <c r="AC31" i="3"/>
  <c r="AD31" i="3"/>
  <c r="H32" i="3"/>
  <c r="I32" i="3"/>
  <c r="J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AD32" i="3"/>
  <c r="H35" i="3"/>
  <c r="I35" i="3"/>
  <c r="J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AA35" i="3"/>
  <c r="AB35" i="3"/>
  <c r="AC35" i="3"/>
  <c r="AD35" i="3"/>
  <c r="H38" i="3"/>
  <c r="I38" i="3"/>
  <c r="J38" i="3"/>
  <c r="K38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AA38" i="3"/>
  <c r="AB38" i="3"/>
  <c r="AC38" i="3"/>
  <c r="AD38" i="3"/>
  <c r="H50" i="3"/>
  <c r="I50" i="3"/>
  <c r="J50" i="3"/>
  <c r="K50" i="3"/>
  <c r="L50" i="3"/>
  <c r="M50" i="3"/>
  <c r="N50" i="3"/>
  <c r="O50" i="3"/>
  <c r="P50" i="3"/>
  <c r="Q50" i="3"/>
  <c r="R50" i="3"/>
  <c r="S50" i="3"/>
  <c r="T50" i="3"/>
  <c r="U50" i="3"/>
  <c r="V50" i="3"/>
  <c r="W50" i="3"/>
  <c r="X50" i="3"/>
  <c r="Y50" i="3"/>
  <c r="Z50" i="3"/>
  <c r="AA50" i="3"/>
  <c r="AB50" i="3"/>
  <c r="AC50" i="3"/>
  <c r="AD50" i="3"/>
  <c r="H58" i="3"/>
  <c r="I58" i="3"/>
  <c r="J58" i="3"/>
  <c r="K58" i="3"/>
  <c r="L58" i="3"/>
  <c r="M58" i="3"/>
  <c r="N58" i="3"/>
  <c r="O58" i="3"/>
  <c r="P58" i="3"/>
  <c r="Q58" i="3"/>
  <c r="R58" i="3"/>
  <c r="S58" i="3"/>
  <c r="T58" i="3"/>
  <c r="U58" i="3"/>
  <c r="V58" i="3"/>
  <c r="W58" i="3"/>
  <c r="X58" i="3"/>
  <c r="Y58" i="3"/>
  <c r="Z58" i="3"/>
  <c r="AA58" i="3"/>
  <c r="AB58" i="3"/>
  <c r="AC58" i="3"/>
  <c r="AD58" i="3"/>
  <c r="G67" i="3"/>
  <c r="H67" i="3"/>
  <c r="I67" i="3"/>
  <c r="J67" i="3"/>
  <c r="K67" i="3"/>
  <c r="L67" i="3"/>
  <c r="M67" i="3"/>
  <c r="N67" i="3"/>
  <c r="O67" i="3"/>
  <c r="P67" i="3"/>
  <c r="Q67" i="3"/>
  <c r="R67" i="3"/>
  <c r="S67" i="3"/>
  <c r="T67" i="3"/>
  <c r="U67" i="3"/>
  <c r="V67" i="3"/>
  <c r="W67" i="3"/>
  <c r="X67" i="3"/>
  <c r="Y67" i="3"/>
  <c r="Z67" i="3"/>
  <c r="AA67" i="3"/>
  <c r="AB67" i="3"/>
  <c r="AC67" i="3"/>
  <c r="AD67" i="3"/>
  <c r="G69" i="3"/>
  <c r="H69" i="3"/>
  <c r="I69" i="3"/>
  <c r="J69" i="3"/>
  <c r="K69" i="3"/>
  <c r="L69" i="3"/>
  <c r="M69" i="3"/>
  <c r="N69" i="3"/>
  <c r="O69" i="3"/>
  <c r="P69" i="3"/>
  <c r="Q69" i="3"/>
  <c r="R69" i="3"/>
  <c r="S69" i="3"/>
  <c r="T69" i="3"/>
  <c r="U69" i="3"/>
  <c r="V69" i="3"/>
  <c r="W69" i="3"/>
  <c r="X69" i="3"/>
  <c r="Y69" i="3"/>
  <c r="Z69" i="3"/>
  <c r="AA69" i="3"/>
  <c r="AB69" i="3"/>
  <c r="AC69" i="3"/>
  <c r="AD69" i="3"/>
  <c r="H73" i="3"/>
  <c r="I73" i="3"/>
  <c r="J73" i="3"/>
  <c r="K73" i="3"/>
  <c r="L73" i="3"/>
  <c r="M73" i="3"/>
  <c r="N73" i="3"/>
  <c r="O73" i="3"/>
  <c r="P73" i="3"/>
  <c r="Q73" i="3"/>
  <c r="R73" i="3"/>
  <c r="S73" i="3"/>
  <c r="T73" i="3"/>
  <c r="U73" i="3"/>
  <c r="V73" i="3"/>
  <c r="W73" i="3"/>
  <c r="X73" i="3"/>
  <c r="Y73" i="3"/>
  <c r="Z73" i="3"/>
  <c r="AA73" i="3"/>
  <c r="AB73" i="3"/>
  <c r="AC73" i="3"/>
  <c r="AD73" i="3"/>
  <c r="G74" i="3"/>
  <c r="H74" i="3"/>
  <c r="I74" i="3"/>
  <c r="J74" i="3"/>
  <c r="K74" i="3"/>
  <c r="L74" i="3"/>
  <c r="M74" i="3"/>
  <c r="N74" i="3"/>
  <c r="O74" i="3"/>
  <c r="P74" i="3"/>
  <c r="Q74" i="3"/>
  <c r="R74" i="3"/>
  <c r="S74" i="3"/>
  <c r="T74" i="3"/>
  <c r="U74" i="3"/>
  <c r="V74" i="3"/>
  <c r="W74" i="3"/>
  <c r="X74" i="3"/>
  <c r="Y74" i="3"/>
  <c r="Z74" i="3"/>
  <c r="AA74" i="3"/>
  <c r="AB74" i="3"/>
  <c r="AC74" i="3"/>
  <c r="AD74" i="3"/>
  <c r="G75" i="3"/>
  <c r="H75" i="3"/>
  <c r="I75" i="3"/>
  <c r="J75" i="3"/>
  <c r="K75" i="3"/>
  <c r="L75" i="3"/>
  <c r="M75" i="3"/>
  <c r="N75" i="3"/>
  <c r="O75" i="3"/>
  <c r="P75" i="3"/>
  <c r="Q75" i="3"/>
  <c r="R75" i="3"/>
  <c r="S75" i="3"/>
  <c r="T75" i="3"/>
  <c r="U75" i="3"/>
  <c r="V75" i="3"/>
  <c r="W75" i="3"/>
  <c r="X75" i="3"/>
  <c r="Y75" i="3"/>
  <c r="Z75" i="3"/>
  <c r="AA75" i="3"/>
  <c r="AB75" i="3"/>
  <c r="AC75" i="3"/>
  <c r="AD75" i="3"/>
  <c r="G78" i="3"/>
  <c r="H78" i="3"/>
  <c r="I78" i="3"/>
  <c r="J78" i="3"/>
  <c r="K78" i="3"/>
  <c r="L78" i="3"/>
  <c r="M78" i="3"/>
  <c r="N78" i="3"/>
  <c r="O78" i="3"/>
  <c r="P78" i="3"/>
  <c r="Q78" i="3"/>
  <c r="R78" i="3"/>
  <c r="S78" i="3"/>
  <c r="T78" i="3"/>
  <c r="U78" i="3"/>
  <c r="V78" i="3"/>
  <c r="W78" i="3"/>
  <c r="X78" i="3"/>
  <c r="Y78" i="3"/>
  <c r="Z78" i="3"/>
  <c r="AA78" i="3"/>
  <c r="AB78" i="3"/>
  <c r="AC78" i="3"/>
  <c r="AD78" i="3"/>
  <c r="G90" i="3"/>
  <c r="H90" i="3"/>
  <c r="I90" i="3"/>
  <c r="J90" i="3"/>
  <c r="K90" i="3"/>
  <c r="L90" i="3"/>
  <c r="M90" i="3"/>
  <c r="N90" i="3"/>
  <c r="O90" i="3"/>
  <c r="P90" i="3"/>
  <c r="Q90" i="3"/>
  <c r="R90" i="3"/>
  <c r="S90" i="3"/>
  <c r="T90" i="3"/>
  <c r="U90" i="3"/>
  <c r="V90" i="3"/>
  <c r="W90" i="3"/>
  <c r="X90" i="3"/>
  <c r="Y90" i="3"/>
  <c r="Z90" i="3"/>
  <c r="AA90" i="3"/>
  <c r="AB90" i="3"/>
  <c r="AC90" i="3"/>
  <c r="AD90" i="3"/>
  <c r="G93" i="3"/>
  <c r="H93" i="3"/>
  <c r="I93" i="3"/>
  <c r="J93" i="3"/>
  <c r="K93" i="3"/>
  <c r="L93" i="3"/>
  <c r="M93" i="3"/>
  <c r="N93" i="3"/>
  <c r="O93" i="3"/>
  <c r="P93" i="3"/>
  <c r="Q93" i="3"/>
  <c r="R93" i="3"/>
  <c r="S93" i="3"/>
  <c r="T93" i="3"/>
  <c r="U93" i="3"/>
  <c r="V93" i="3"/>
  <c r="W93" i="3"/>
  <c r="X93" i="3"/>
  <c r="Y93" i="3"/>
  <c r="Z93" i="3"/>
  <c r="AA93" i="3"/>
  <c r="AB93" i="3"/>
  <c r="AC93" i="3"/>
  <c r="AD93" i="3"/>
  <c r="G97" i="3"/>
  <c r="H97" i="3"/>
  <c r="I97" i="3"/>
  <c r="J97" i="3"/>
  <c r="K97" i="3"/>
  <c r="L97" i="3"/>
  <c r="M97" i="3"/>
  <c r="N97" i="3"/>
  <c r="O97" i="3"/>
  <c r="P97" i="3"/>
  <c r="Q97" i="3"/>
  <c r="R97" i="3"/>
  <c r="S97" i="3"/>
  <c r="T97" i="3"/>
  <c r="U97" i="3"/>
  <c r="V97" i="3"/>
  <c r="W97" i="3"/>
  <c r="X97" i="3"/>
  <c r="Y97" i="3"/>
  <c r="Z97" i="3"/>
  <c r="AA97" i="3"/>
  <c r="AB97" i="3"/>
  <c r="AC97" i="3"/>
  <c r="AD97" i="3"/>
  <c r="G110" i="3"/>
  <c r="H110" i="3"/>
  <c r="I110" i="3"/>
  <c r="J110" i="3"/>
  <c r="K110" i="3"/>
  <c r="L110" i="3"/>
  <c r="M110" i="3"/>
  <c r="N110" i="3"/>
  <c r="O110" i="3"/>
  <c r="P110" i="3"/>
  <c r="Q110" i="3"/>
  <c r="R110" i="3"/>
  <c r="S110" i="3"/>
  <c r="T110" i="3"/>
  <c r="U110" i="3"/>
  <c r="V110" i="3"/>
  <c r="W110" i="3"/>
  <c r="X110" i="3"/>
  <c r="Y110" i="3"/>
  <c r="Z110" i="3"/>
  <c r="AA110" i="3"/>
  <c r="AB110" i="3"/>
  <c r="AC110" i="3"/>
  <c r="AD110" i="3"/>
  <c r="H111" i="3"/>
  <c r="I111" i="3"/>
  <c r="J111" i="3"/>
  <c r="K111" i="3"/>
  <c r="L111" i="3"/>
  <c r="M111" i="3"/>
  <c r="N111" i="3"/>
  <c r="O111" i="3"/>
  <c r="P111" i="3"/>
  <c r="Q111" i="3"/>
  <c r="R111" i="3"/>
  <c r="S111" i="3"/>
  <c r="T111" i="3"/>
  <c r="U111" i="3"/>
  <c r="V111" i="3"/>
  <c r="W111" i="3"/>
  <c r="X111" i="3"/>
  <c r="Y111" i="3"/>
  <c r="Z111" i="3"/>
  <c r="AA111" i="3"/>
  <c r="AB111" i="3"/>
  <c r="AC111" i="3"/>
  <c r="AD111" i="3"/>
  <c r="G112" i="3"/>
  <c r="H112" i="3"/>
  <c r="I112" i="3"/>
  <c r="J112" i="3"/>
  <c r="K112" i="3"/>
  <c r="L112" i="3"/>
  <c r="M112" i="3"/>
  <c r="N112" i="3"/>
  <c r="O112" i="3"/>
  <c r="P112" i="3"/>
  <c r="Q112" i="3"/>
  <c r="R112" i="3"/>
  <c r="S112" i="3"/>
  <c r="T112" i="3"/>
  <c r="U112" i="3"/>
  <c r="V112" i="3"/>
  <c r="W112" i="3"/>
  <c r="X112" i="3"/>
  <c r="Y112" i="3"/>
  <c r="Z112" i="3"/>
  <c r="AA112" i="3"/>
  <c r="AB112" i="3"/>
  <c r="AC112" i="3"/>
  <c r="AD112" i="3"/>
  <c r="G115" i="3"/>
  <c r="H115" i="3"/>
  <c r="I115" i="3"/>
  <c r="J115" i="3"/>
  <c r="K115" i="3"/>
  <c r="L115" i="3"/>
  <c r="M115" i="3"/>
  <c r="N115" i="3"/>
  <c r="O115" i="3"/>
  <c r="P115" i="3"/>
  <c r="Q115" i="3"/>
  <c r="R115" i="3"/>
  <c r="S115" i="3"/>
  <c r="T115" i="3"/>
  <c r="U115" i="3"/>
  <c r="V115" i="3"/>
  <c r="W115" i="3"/>
  <c r="X115" i="3"/>
  <c r="Y115" i="3"/>
  <c r="Z115" i="3"/>
  <c r="AA115" i="3"/>
  <c r="AB115" i="3"/>
  <c r="AC115" i="3"/>
  <c r="AD115" i="3"/>
  <c r="G118" i="3"/>
  <c r="H118" i="3"/>
  <c r="I118" i="3"/>
  <c r="J118" i="3"/>
  <c r="K118" i="3"/>
  <c r="L118" i="3"/>
  <c r="M118" i="3"/>
  <c r="N118" i="3"/>
  <c r="O118" i="3"/>
  <c r="P118" i="3"/>
  <c r="Q118" i="3"/>
  <c r="R118" i="3"/>
  <c r="S118" i="3"/>
  <c r="T118" i="3"/>
  <c r="U118" i="3"/>
  <c r="V118" i="3"/>
  <c r="W118" i="3"/>
  <c r="X118" i="3"/>
  <c r="Y118" i="3"/>
  <c r="Z118" i="3"/>
  <c r="AA118" i="3"/>
  <c r="AB118" i="3"/>
  <c r="AC118" i="3"/>
  <c r="AD118" i="3"/>
  <c r="H319" i="3"/>
  <c r="I319" i="3"/>
  <c r="J319" i="3"/>
  <c r="K319" i="3"/>
  <c r="L319" i="3"/>
  <c r="M319" i="3"/>
  <c r="N319" i="3"/>
  <c r="O319" i="3"/>
  <c r="P319" i="3"/>
  <c r="Q319" i="3"/>
  <c r="R319" i="3"/>
  <c r="S319" i="3"/>
  <c r="T319" i="3"/>
  <c r="U319" i="3"/>
  <c r="V319" i="3"/>
  <c r="W319" i="3"/>
  <c r="X319" i="3"/>
  <c r="Y319" i="3"/>
  <c r="Z319" i="3"/>
  <c r="AA319" i="3"/>
  <c r="AB319" i="3"/>
  <c r="AC319" i="3"/>
  <c r="AD319" i="3"/>
  <c r="H321" i="3"/>
  <c r="I321" i="3"/>
  <c r="J321" i="3"/>
  <c r="K321" i="3"/>
  <c r="L321" i="3"/>
  <c r="M321" i="3"/>
  <c r="N321" i="3"/>
  <c r="O321" i="3"/>
  <c r="P321" i="3"/>
  <c r="Q321" i="3"/>
  <c r="R321" i="3"/>
  <c r="S321" i="3"/>
  <c r="T321" i="3"/>
  <c r="U321" i="3"/>
  <c r="V321" i="3"/>
  <c r="W321" i="3"/>
  <c r="X321" i="3"/>
  <c r="Y321" i="3"/>
  <c r="Z321" i="3"/>
  <c r="AA321" i="3"/>
  <c r="AB321" i="3"/>
  <c r="AC321" i="3"/>
  <c r="AD321" i="3"/>
  <c r="I324" i="3"/>
  <c r="J324" i="3"/>
  <c r="K324" i="3"/>
  <c r="L324" i="3"/>
  <c r="M324" i="3"/>
  <c r="N324" i="3"/>
  <c r="O324" i="3"/>
  <c r="P324" i="3"/>
  <c r="Q324" i="3"/>
  <c r="R324" i="3"/>
  <c r="S324" i="3"/>
  <c r="T324" i="3"/>
  <c r="U324" i="3"/>
  <c r="V324" i="3"/>
  <c r="W324" i="3"/>
  <c r="X324" i="3"/>
  <c r="Y324" i="3"/>
  <c r="Z324" i="3"/>
  <c r="AA324" i="3"/>
  <c r="AB324" i="3"/>
  <c r="AC324" i="3"/>
  <c r="AD324" i="3"/>
  <c r="H325" i="3"/>
  <c r="I325" i="3"/>
  <c r="J325" i="3"/>
  <c r="K325" i="3"/>
  <c r="L325" i="3"/>
  <c r="M325" i="3"/>
  <c r="N325" i="3"/>
  <c r="O325" i="3"/>
  <c r="P325" i="3"/>
  <c r="Q325" i="3"/>
  <c r="R325" i="3"/>
  <c r="S325" i="3"/>
  <c r="T325" i="3"/>
  <c r="U325" i="3"/>
  <c r="V325" i="3"/>
  <c r="W325" i="3"/>
  <c r="X325" i="3"/>
  <c r="Y325" i="3"/>
  <c r="Z325" i="3"/>
  <c r="AA325" i="3"/>
  <c r="AB325" i="3"/>
  <c r="AC325" i="3"/>
  <c r="AD325" i="3"/>
  <c r="H326" i="3"/>
  <c r="I326" i="3"/>
  <c r="J326" i="3"/>
  <c r="K326" i="3"/>
  <c r="L326" i="3"/>
  <c r="M326" i="3"/>
  <c r="N326" i="3"/>
  <c r="O326" i="3"/>
  <c r="P326" i="3"/>
  <c r="Q326" i="3"/>
  <c r="R326" i="3"/>
  <c r="S326" i="3"/>
  <c r="T326" i="3"/>
  <c r="U326" i="3"/>
  <c r="V326" i="3"/>
  <c r="W326" i="3"/>
  <c r="X326" i="3"/>
  <c r="Y326" i="3"/>
  <c r="Z326" i="3"/>
  <c r="AA326" i="3"/>
  <c r="AB326" i="3"/>
  <c r="AC326" i="3"/>
  <c r="AD326" i="3"/>
  <c r="H329" i="3"/>
  <c r="I329" i="3"/>
  <c r="J329" i="3"/>
  <c r="K329" i="3"/>
  <c r="L329" i="3"/>
  <c r="M329" i="3"/>
  <c r="N329" i="3"/>
  <c r="O329" i="3"/>
  <c r="P329" i="3"/>
  <c r="Q329" i="3"/>
  <c r="R329" i="3"/>
  <c r="S329" i="3"/>
  <c r="T329" i="3"/>
  <c r="U329" i="3"/>
  <c r="V329" i="3"/>
  <c r="W329" i="3"/>
  <c r="X329" i="3"/>
  <c r="Y329" i="3"/>
  <c r="Z329" i="3"/>
  <c r="AA329" i="3"/>
  <c r="AB329" i="3"/>
  <c r="AC329" i="3"/>
  <c r="AD329" i="3"/>
  <c r="H330" i="3"/>
  <c r="I330" i="3"/>
  <c r="J330" i="3"/>
  <c r="K330" i="3"/>
  <c r="L330" i="3"/>
  <c r="M330" i="3"/>
  <c r="N330" i="3"/>
  <c r="O330" i="3"/>
  <c r="P330" i="3"/>
  <c r="Q330" i="3"/>
  <c r="R330" i="3"/>
  <c r="S330" i="3"/>
  <c r="T330" i="3"/>
  <c r="U330" i="3"/>
  <c r="V330" i="3"/>
  <c r="W330" i="3"/>
  <c r="X330" i="3"/>
  <c r="Y330" i="3"/>
  <c r="Z330" i="3"/>
  <c r="AA330" i="3"/>
  <c r="AB330" i="3"/>
  <c r="AC330" i="3"/>
  <c r="AD330" i="3"/>
  <c r="G331" i="3"/>
  <c r="H331" i="3"/>
  <c r="I331" i="3"/>
  <c r="J331" i="3"/>
  <c r="K331" i="3"/>
  <c r="L331" i="3"/>
  <c r="M331" i="3"/>
  <c r="N331" i="3"/>
  <c r="O331" i="3"/>
  <c r="P331" i="3"/>
  <c r="Q331" i="3"/>
  <c r="R331" i="3"/>
  <c r="S331" i="3"/>
  <c r="T331" i="3"/>
  <c r="U331" i="3"/>
  <c r="V331" i="3"/>
  <c r="W331" i="3"/>
  <c r="X331" i="3"/>
  <c r="Y331" i="3"/>
  <c r="Z331" i="3"/>
  <c r="AA331" i="3"/>
  <c r="AB331" i="3"/>
  <c r="AC331" i="3"/>
  <c r="AD331" i="3"/>
  <c r="G332" i="3"/>
  <c r="H332" i="3"/>
  <c r="I332" i="3"/>
  <c r="J332" i="3"/>
  <c r="K332" i="3"/>
  <c r="L332" i="3"/>
  <c r="M332" i="3"/>
  <c r="N332" i="3"/>
  <c r="O332" i="3"/>
  <c r="P332" i="3"/>
  <c r="Q332" i="3"/>
  <c r="R332" i="3"/>
  <c r="S332" i="3"/>
  <c r="T332" i="3"/>
  <c r="U332" i="3"/>
  <c r="V332" i="3"/>
  <c r="W332" i="3"/>
  <c r="X332" i="3"/>
  <c r="Y332" i="3"/>
  <c r="Z332" i="3"/>
  <c r="AA332" i="3"/>
  <c r="AB332" i="3"/>
  <c r="AC332" i="3"/>
  <c r="AD332" i="3"/>
  <c r="H336" i="3"/>
  <c r="I336" i="3"/>
  <c r="J336" i="3"/>
  <c r="K336" i="3"/>
  <c r="L336" i="3"/>
  <c r="M336" i="3"/>
  <c r="N336" i="3"/>
  <c r="O336" i="3"/>
  <c r="P336" i="3"/>
  <c r="Q336" i="3"/>
  <c r="R336" i="3"/>
  <c r="S336" i="3"/>
  <c r="T336" i="3"/>
  <c r="U336" i="3"/>
  <c r="V336" i="3"/>
  <c r="W336" i="3"/>
  <c r="X336" i="3"/>
  <c r="Y336" i="3"/>
  <c r="Z336" i="3"/>
  <c r="AA336" i="3"/>
  <c r="AB336" i="3"/>
  <c r="AC336" i="3"/>
  <c r="AD336" i="3"/>
  <c r="G337" i="3"/>
  <c r="H337" i="3"/>
  <c r="I337" i="3"/>
  <c r="J337" i="3"/>
  <c r="K337" i="3"/>
  <c r="L337" i="3"/>
  <c r="M337" i="3"/>
  <c r="N337" i="3"/>
  <c r="O337" i="3"/>
  <c r="P337" i="3"/>
  <c r="Q337" i="3"/>
  <c r="R337" i="3"/>
  <c r="S337" i="3"/>
  <c r="T337" i="3"/>
  <c r="U337" i="3"/>
  <c r="V337" i="3"/>
  <c r="W337" i="3"/>
  <c r="X337" i="3"/>
  <c r="Y337" i="3"/>
  <c r="Z337" i="3"/>
  <c r="AA337" i="3"/>
  <c r="AB337" i="3"/>
  <c r="AC337" i="3"/>
  <c r="AD337" i="3"/>
  <c r="H338" i="3"/>
  <c r="I338" i="3"/>
  <c r="J338" i="3"/>
  <c r="K338" i="3"/>
  <c r="L338" i="3"/>
  <c r="M338" i="3"/>
  <c r="N338" i="3"/>
  <c r="O338" i="3"/>
  <c r="P338" i="3"/>
  <c r="Q338" i="3"/>
  <c r="R338" i="3"/>
  <c r="S338" i="3"/>
  <c r="T338" i="3"/>
  <c r="U338" i="3"/>
  <c r="V338" i="3"/>
  <c r="W338" i="3"/>
  <c r="X338" i="3"/>
  <c r="Y338" i="3"/>
  <c r="Z338" i="3"/>
  <c r="AA338" i="3"/>
  <c r="AB338" i="3"/>
  <c r="AC338" i="3"/>
  <c r="AD338" i="3"/>
  <c r="G339" i="3"/>
  <c r="H339" i="3"/>
  <c r="I339" i="3"/>
  <c r="J339" i="3"/>
  <c r="K339" i="3"/>
  <c r="L339" i="3"/>
  <c r="M339" i="3"/>
  <c r="N339" i="3"/>
  <c r="O339" i="3"/>
  <c r="P339" i="3"/>
  <c r="Q339" i="3"/>
  <c r="R339" i="3"/>
  <c r="S339" i="3"/>
  <c r="T339" i="3"/>
  <c r="U339" i="3"/>
  <c r="V339" i="3"/>
  <c r="W339" i="3"/>
  <c r="X339" i="3"/>
  <c r="Y339" i="3"/>
  <c r="Z339" i="3"/>
  <c r="AA339" i="3"/>
  <c r="AB339" i="3"/>
  <c r="AC339" i="3"/>
  <c r="AD339" i="3"/>
  <c r="H340" i="3"/>
  <c r="I340" i="3"/>
  <c r="J340" i="3"/>
  <c r="K340" i="3"/>
  <c r="L340" i="3"/>
  <c r="M340" i="3"/>
  <c r="N340" i="3"/>
  <c r="O340" i="3"/>
  <c r="P340" i="3"/>
  <c r="Q340" i="3"/>
  <c r="R340" i="3"/>
  <c r="S340" i="3"/>
  <c r="T340" i="3"/>
  <c r="U340" i="3"/>
  <c r="V340" i="3"/>
  <c r="W340" i="3"/>
  <c r="X340" i="3"/>
  <c r="Y340" i="3"/>
  <c r="Z340" i="3"/>
  <c r="AA340" i="3"/>
  <c r="AB340" i="3"/>
  <c r="AC340" i="3"/>
  <c r="AD340" i="3"/>
  <c r="H341" i="3"/>
  <c r="I341" i="3"/>
  <c r="J341" i="3"/>
  <c r="K341" i="3"/>
  <c r="L341" i="3"/>
  <c r="M341" i="3"/>
  <c r="N341" i="3"/>
  <c r="O341" i="3"/>
  <c r="P341" i="3"/>
  <c r="Q341" i="3"/>
  <c r="R341" i="3"/>
  <c r="S341" i="3"/>
  <c r="T341" i="3"/>
  <c r="U341" i="3"/>
  <c r="V341" i="3"/>
  <c r="W341" i="3"/>
  <c r="X341" i="3"/>
  <c r="Y341" i="3"/>
  <c r="Z341" i="3"/>
  <c r="AA341" i="3"/>
  <c r="AB341" i="3"/>
  <c r="AC341" i="3"/>
  <c r="AD341" i="3"/>
  <c r="G342" i="3"/>
  <c r="H342" i="3"/>
  <c r="I342" i="3"/>
  <c r="J342" i="3"/>
  <c r="K342" i="3"/>
  <c r="L342" i="3"/>
  <c r="M342" i="3"/>
  <c r="N342" i="3"/>
  <c r="O342" i="3"/>
  <c r="P342" i="3"/>
  <c r="Q342" i="3"/>
  <c r="R342" i="3"/>
  <c r="S342" i="3"/>
  <c r="T342" i="3"/>
  <c r="U342" i="3"/>
  <c r="V342" i="3"/>
  <c r="W342" i="3"/>
  <c r="X342" i="3"/>
  <c r="Y342" i="3"/>
  <c r="Z342" i="3"/>
  <c r="AA342" i="3"/>
  <c r="AB342" i="3"/>
  <c r="AC342" i="3"/>
  <c r="AD342" i="3"/>
  <c r="H345" i="3"/>
  <c r="I345" i="3"/>
  <c r="J345" i="3"/>
  <c r="K345" i="3"/>
  <c r="L345" i="3"/>
  <c r="M345" i="3"/>
  <c r="N345" i="3"/>
  <c r="O345" i="3"/>
  <c r="P345" i="3"/>
  <c r="Q345" i="3"/>
  <c r="R345" i="3"/>
  <c r="S345" i="3"/>
  <c r="T345" i="3"/>
  <c r="U345" i="3"/>
  <c r="V345" i="3"/>
  <c r="W345" i="3"/>
  <c r="X345" i="3"/>
  <c r="Y345" i="3"/>
  <c r="Z345" i="3"/>
  <c r="AA345" i="3"/>
  <c r="AB345" i="3"/>
  <c r="AC345" i="3"/>
  <c r="AD345" i="3"/>
  <c r="I346" i="3"/>
  <c r="J346" i="3"/>
  <c r="K346" i="3"/>
  <c r="L346" i="3"/>
  <c r="M346" i="3"/>
  <c r="N346" i="3"/>
  <c r="O346" i="3"/>
  <c r="P346" i="3"/>
  <c r="Q346" i="3"/>
  <c r="R346" i="3"/>
  <c r="S346" i="3"/>
  <c r="T346" i="3"/>
  <c r="U346" i="3"/>
  <c r="V346" i="3"/>
  <c r="W346" i="3"/>
  <c r="X346" i="3"/>
  <c r="Y346" i="3"/>
  <c r="Z346" i="3"/>
  <c r="AA346" i="3"/>
  <c r="AB346" i="3"/>
  <c r="AC346" i="3"/>
  <c r="AD346" i="3"/>
  <c r="G347" i="3"/>
  <c r="H347" i="3"/>
  <c r="I347" i="3"/>
  <c r="J347" i="3"/>
  <c r="K347" i="3"/>
  <c r="L347" i="3"/>
  <c r="M347" i="3"/>
  <c r="N347" i="3"/>
  <c r="O347" i="3"/>
  <c r="P347" i="3"/>
  <c r="Q347" i="3"/>
  <c r="R347" i="3"/>
  <c r="S347" i="3"/>
  <c r="T347" i="3"/>
  <c r="U347" i="3"/>
  <c r="V347" i="3"/>
  <c r="W347" i="3"/>
  <c r="X347" i="3"/>
  <c r="Y347" i="3"/>
  <c r="Z347" i="3"/>
  <c r="AA347" i="3"/>
  <c r="AB347" i="3"/>
  <c r="AC347" i="3"/>
  <c r="AD347" i="3"/>
  <c r="H348" i="3"/>
  <c r="I348" i="3"/>
  <c r="J348" i="3"/>
  <c r="K348" i="3"/>
  <c r="L348" i="3"/>
  <c r="M348" i="3"/>
  <c r="N348" i="3"/>
  <c r="O348" i="3"/>
  <c r="P348" i="3"/>
  <c r="Q348" i="3"/>
  <c r="R348" i="3"/>
  <c r="S348" i="3"/>
  <c r="T348" i="3"/>
  <c r="U348" i="3"/>
  <c r="V348" i="3"/>
  <c r="W348" i="3"/>
  <c r="X348" i="3"/>
  <c r="Y348" i="3"/>
  <c r="Z348" i="3"/>
  <c r="AA348" i="3"/>
  <c r="AB348" i="3"/>
  <c r="AC348" i="3"/>
  <c r="AD348" i="3"/>
  <c r="G349" i="3"/>
  <c r="H349" i="3"/>
  <c r="I349" i="3"/>
  <c r="J349" i="3"/>
  <c r="K349" i="3"/>
  <c r="L349" i="3"/>
  <c r="M349" i="3"/>
  <c r="N349" i="3"/>
  <c r="O349" i="3"/>
  <c r="P349" i="3"/>
  <c r="Q349" i="3"/>
  <c r="R349" i="3"/>
  <c r="S349" i="3"/>
  <c r="T349" i="3"/>
  <c r="U349" i="3"/>
  <c r="V349" i="3"/>
  <c r="W349" i="3"/>
  <c r="X349" i="3"/>
  <c r="Y349" i="3"/>
  <c r="Z349" i="3"/>
  <c r="AA349" i="3"/>
  <c r="AB349" i="3"/>
  <c r="AC349" i="3"/>
  <c r="AD349" i="3"/>
  <c r="G353" i="3"/>
  <c r="G355" i="3"/>
  <c r="G356" i="3"/>
  <c r="G357" i="3"/>
  <c r="G358" i="3" a="1"/>
  <c r="G358" i="3"/>
  <c r="H476" i="3"/>
  <c r="I476" i="3"/>
  <c r="J476" i="3"/>
  <c r="K476" i="3"/>
  <c r="L476" i="3"/>
  <c r="M476" i="3"/>
  <c r="N476" i="3"/>
  <c r="O476" i="3"/>
  <c r="P476" i="3"/>
  <c r="Q476" i="3"/>
  <c r="R476" i="3"/>
  <c r="S476" i="3"/>
  <c r="T476" i="3"/>
  <c r="U476" i="3"/>
  <c r="V476" i="3"/>
  <c r="W476" i="3"/>
  <c r="X476" i="3"/>
  <c r="Y476" i="3"/>
  <c r="Z476" i="3"/>
  <c r="AA476" i="3"/>
  <c r="AB476" i="3"/>
  <c r="AC476" i="3"/>
  <c r="AD476" i="3"/>
  <c r="G477" i="3"/>
  <c r="H477" i="3"/>
  <c r="I477" i="3"/>
  <c r="J477" i="3"/>
  <c r="K477" i="3"/>
  <c r="L477" i="3"/>
  <c r="M477" i="3"/>
  <c r="N477" i="3"/>
  <c r="O477" i="3"/>
  <c r="P477" i="3"/>
  <c r="Q477" i="3"/>
  <c r="R477" i="3"/>
  <c r="S477" i="3"/>
  <c r="T477" i="3"/>
  <c r="U477" i="3"/>
  <c r="V477" i="3"/>
  <c r="W477" i="3"/>
  <c r="X477" i="3"/>
  <c r="Y477" i="3"/>
  <c r="Z477" i="3"/>
  <c r="AA477" i="3"/>
  <c r="AB477" i="3"/>
  <c r="AC477" i="3"/>
  <c r="AD477" i="3"/>
  <c r="H481" i="3"/>
  <c r="I481" i="3"/>
  <c r="J481" i="3"/>
  <c r="K481" i="3"/>
  <c r="L481" i="3"/>
  <c r="M481" i="3"/>
  <c r="N481" i="3"/>
  <c r="O481" i="3"/>
  <c r="P481" i="3"/>
  <c r="Q481" i="3"/>
  <c r="R481" i="3"/>
  <c r="S481" i="3"/>
  <c r="T481" i="3"/>
  <c r="U481" i="3"/>
  <c r="V481" i="3"/>
  <c r="W481" i="3"/>
  <c r="X481" i="3"/>
  <c r="Y481" i="3"/>
  <c r="Z481" i="3"/>
  <c r="AA481" i="3"/>
  <c r="AB481" i="3"/>
  <c r="AC481" i="3"/>
  <c r="AD481" i="3"/>
  <c r="G482" i="3"/>
  <c r="H482" i="3"/>
  <c r="I482" i="3"/>
  <c r="J482" i="3"/>
  <c r="K482" i="3"/>
  <c r="L482" i="3"/>
  <c r="M482" i="3"/>
  <c r="N482" i="3"/>
  <c r="O482" i="3"/>
  <c r="P482" i="3"/>
  <c r="Q482" i="3"/>
  <c r="R482" i="3"/>
  <c r="S482" i="3"/>
  <c r="T482" i="3"/>
  <c r="U482" i="3"/>
  <c r="V482" i="3"/>
  <c r="W482" i="3"/>
  <c r="X482" i="3"/>
  <c r="Y482" i="3"/>
  <c r="Z482" i="3"/>
  <c r="AA482" i="3"/>
  <c r="AB482" i="3"/>
  <c r="AC482" i="3"/>
  <c r="AD482" i="3"/>
  <c r="G483" i="3"/>
  <c r="H483" i="3"/>
  <c r="I483" i="3"/>
  <c r="J483" i="3"/>
  <c r="K483" i="3"/>
  <c r="L483" i="3"/>
  <c r="M483" i="3"/>
  <c r="N483" i="3"/>
  <c r="O483" i="3"/>
  <c r="P483" i="3"/>
  <c r="Q483" i="3"/>
  <c r="R483" i="3"/>
  <c r="S483" i="3"/>
  <c r="T483" i="3"/>
  <c r="U483" i="3"/>
  <c r="V483" i="3"/>
  <c r="W483" i="3"/>
  <c r="X483" i="3"/>
  <c r="Y483" i="3"/>
  <c r="Z483" i="3"/>
  <c r="AA483" i="3"/>
  <c r="AB483" i="3"/>
  <c r="AC483" i="3"/>
  <c r="AD483" i="3"/>
  <c r="I486" i="3"/>
  <c r="J486" i="3"/>
  <c r="K486" i="3"/>
  <c r="L486" i="3"/>
  <c r="M486" i="3"/>
  <c r="N486" i="3"/>
  <c r="O486" i="3"/>
  <c r="P486" i="3"/>
  <c r="Q486" i="3"/>
  <c r="R486" i="3"/>
  <c r="S486" i="3"/>
  <c r="T486" i="3"/>
  <c r="U486" i="3"/>
  <c r="V486" i="3"/>
  <c r="W486" i="3"/>
  <c r="X486" i="3"/>
  <c r="Y486" i="3"/>
  <c r="Z486" i="3"/>
  <c r="AA486" i="3"/>
  <c r="AB486" i="3"/>
  <c r="AC486" i="3"/>
  <c r="AD486" i="3"/>
  <c r="H487" i="3"/>
  <c r="I487" i="3"/>
  <c r="J487" i="3"/>
  <c r="K487" i="3"/>
  <c r="L487" i="3"/>
  <c r="M487" i="3"/>
  <c r="N487" i="3"/>
  <c r="O487" i="3"/>
  <c r="P487" i="3"/>
  <c r="Q487" i="3"/>
  <c r="R487" i="3"/>
  <c r="S487" i="3"/>
  <c r="T487" i="3"/>
  <c r="U487" i="3"/>
  <c r="V487" i="3"/>
  <c r="W487" i="3"/>
  <c r="X487" i="3"/>
  <c r="Y487" i="3"/>
  <c r="Z487" i="3"/>
  <c r="AA487" i="3"/>
  <c r="AB487" i="3"/>
  <c r="AC487" i="3"/>
  <c r="AD487" i="3"/>
  <c r="H489" i="3"/>
  <c r="I489" i="3"/>
  <c r="J489" i="3"/>
  <c r="K489" i="3"/>
  <c r="L489" i="3"/>
  <c r="M489" i="3"/>
  <c r="N489" i="3"/>
  <c r="O489" i="3"/>
  <c r="P489" i="3"/>
  <c r="Q489" i="3"/>
  <c r="R489" i="3"/>
  <c r="S489" i="3"/>
  <c r="T489" i="3"/>
  <c r="U489" i="3"/>
  <c r="V489" i="3"/>
  <c r="W489" i="3"/>
  <c r="X489" i="3"/>
  <c r="Y489" i="3"/>
  <c r="Z489" i="3"/>
  <c r="AA489" i="3"/>
  <c r="AB489" i="3"/>
  <c r="AC489" i="3"/>
  <c r="AD489" i="3"/>
  <c r="G492" i="3"/>
  <c r="H492" i="3"/>
  <c r="I492" i="3"/>
  <c r="J492" i="3"/>
  <c r="K492" i="3"/>
  <c r="L492" i="3"/>
  <c r="M492" i="3"/>
  <c r="N492" i="3"/>
  <c r="O492" i="3"/>
  <c r="P492" i="3"/>
  <c r="Q492" i="3"/>
  <c r="R492" i="3"/>
  <c r="S492" i="3"/>
  <c r="T492" i="3"/>
  <c r="U492" i="3"/>
  <c r="V492" i="3"/>
  <c r="W492" i="3"/>
  <c r="X492" i="3"/>
  <c r="Y492" i="3"/>
  <c r="Z492" i="3"/>
  <c r="AA492" i="3"/>
  <c r="AB492" i="3"/>
  <c r="AC492" i="3"/>
  <c r="AD492" i="3"/>
  <c r="H493" i="3"/>
  <c r="I493" i="3"/>
  <c r="J493" i="3"/>
  <c r="K493" i="3"/>
  <c r="L493" i="3"/>
  <c r="M493" i="3"/>
  <c r="N493" i="3"/>
  <c r="O493" i="3"/>
  <c r="P493" i="3"/>
  <c r="Q493" i="3"/>
  <c r="R493" i="3"/>
  <c r="S493" i="3"/>
  <c r="T493" i="3"/>
  <c r="U493" i="3"/>
  <c r="V493" i="3"/>
  <c r="W493" i="3"/>
  <c r="X493" i="3"/>
  <c r="Y493" i="3"/>
  <c r="Z493" i="3"/>
  <c r="AA493" i="3"/>
  <c r="AB493" i="3"/>
  <c r="AC493" i="3"/>
  <c r="AD493" i="3"/>
  <c r="G494" i="3"/>
  <c r="H494" i="3"/>
  <c r="I494" i="3"/>
  <c r="J494" i="3"/>
  <c r="K494" i="3"/>
  <c r="L494" i="3"/>
  <c r="M494" i="3"/>
  <c r="N494" i="3"/>
  <c r="O494" i="3"/>
  <c r="P494" i="3"/>
  <c r="Q494" i="3"/>
  <c r="R494" i="3"/>
  <c r="S494" i="3"/>
  <c r="T494" i="3"/>
  <c r="U494" i="3"/>
  <c r="V494" i="3"/>
  <c r="W494" i="3"/>
  <c r="X494" i="3"/>
  <c r="Y494" i="3"/>
  <c r="Z494" i="3"/>
  <c r="AA494" i="3"/>
  <c r="AB494" i="3"/>
  <c r="AC494" i="3"/>
  <c r="AD494" i="3"/>
  <c r="D574" i="3"/>
  <c r="P117" i="12"/>
  <c r="P119" i="12"/>
  <c r="P162" i="12"/>
  <c r="P164" i="12"/>
  <c r="H213" i="12"/>
  <c r="I213" i="12"/>
  <c r="H215" i="12"/>
  <c r="I215" i="12"/>
  <c r="R231" i="12"/>
  <c r="R233" i="1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<sst xmlns="http://schemas.openxmlformats.org/spreadsheetml/2006/main" count="992" uniqueCount="530">
  <si>
    <t>Hallo</t>
  </si>
  <si>
    <t>Gale Suer</t>
  </si>
  <si>
    <t>Conversion Rate</t>
  </si>
  <si>
    <t>Gross Churn</t>
  </si>
  <si>
    <t>Lead Growth</t>
  </si>
  <si>
    <t>Revenue Drivers</t>
  </si>
  <si>
    <t>Headcount Drivers</t>
  </si>
  <si>
    <t>Payroll Tax</t>
  </si>
  <si>
    <t>Salary AE</t>
  </si>
  <si>
    <t>Salary CSM</t>
  </si>
  <si>
    <t>ARR</t>
  </si>
  <si>
    <t>Customer Succes Hires</t>
  </si>
  <si>
    <t>Product Hires</t>
  </si>
  <si>
    <t>G&amp;A Hires</t>
  </si>
  <si>
    <t>Check</t>
  </si>
  <si>
    <t>Tel.</t>
  </si>
  <si>
    <t>E-mail</t>
  </si>
  <si>
    <t>Gale.suer@outlook.com</t>
  </si>
  <si>
    <t>+31648370031</t>
  </si>
  <si>
    <t>Salary Product</t>
  </si>
  <si>
    <t>Salary G&amp;A</t>
  </si>
  <si>
    <t>ARR Growth</t>
  </si>
  <si>
    <t>Runway</t>
  </si>
  <si>
    <t>Rule of 40</t>
  </si>
  <si>
    <t>All figures in EUR thousands unless stated</t>
  </si>
  <si>
    <t>Other Inputs</t>
  </si>
  <si>
    <t>End of 2025 balances</t>
  </si>
  <si>
    <t>(DD-MM-YY)</t>
  </si>
  <si>
    <t>Scenario &amp; Fixed Drivers</t>
  </si>
  <si>
    <t>Best Case</t>
  </si>
  <si>
    <t>Base Case</t>
  </si>
  <si>
    <t>Worst Case</t>
  </si>
  <si>
    <t>Driver Switch</t>
  </si>
  <si>
    <t xml:space="preserve"> </t>
  </si>
  <si>
    <t>ARPU Growth</t>
  </si>
  <si>
    <t>Salary SDR</t>
  </si>
  <si>
    <t>Cash</t>
  </si>
  <si>
    <t>FTE</t>
  </si>
  <si>
    <t>Monthly ARPU</t>
  </si>
  <si>
    <t># of customers</t>
  </si>
  <si>
    <t>(total #)</t>
  </si>
  <si>
    <t>Gross Customer Churn</t>
  </si>
  <si>
    <t>Marketing Spend (% ARR)</t>
  </si>
  <si>
    <t>Revenue Forecast</t>
  </si>
  <si>
    <t>MRR</t>
  </si>
  <si>
    <t>Beginning</t>
  </si>
  <si>
    <t>Customer Roll-Forward</t>
  </si>
  <si>
    <t>Lost customers</t>
  </si>
  <si>
    <t>Ending</t>
  </si>
  <si>
    <t>Lead Schedule</t>
  </si>
  <si>
    <t>Beginning ARR</t>
  </si>
  <si>
    <t>New ARR</t>
  </si>
  <si>
    <t>New Leads (marketing/sales)</t>
  </si>
  <si>
    <t>Converted Leads</t>
  </si>
  <si>
    <t># of leads</t>
  </si>
  <si>
    <t>New leads Dec-25</t>
  </si>
  <si>
    <t>New Customers</t>
  </si>
  <si>
    <t>Months in period</t>
  </si>
  <si>
    <t>(eur/user)</t>
  </si>
  <si>
    <t>New MRR</t>
  </si>
  <si>
    <t>Revenue metrics</t>
  </si>
  <si>
    <t>Ending MRR</t>
  </si>
  <si>
    <t>Ending ARR</t>
  </si>
  <si>
    <t>MRR Growth</t>
  </si>
  <si>
    <t>Net New ARR</t>
  </si>
  <si>
    <t>Net Customer Adds</t>
  </si>
  <si>
    <t>Customer Growth</t>
  </si>
  <si>
    <t>ARR growth</t>
  </si>
  <si>
    <t>Lost MRR</t>
  </si>
  <si>
    <t>Lost ARR</t>
  </si>
  <si>
    <t>Net New MRR</t>
  </si>
  <si>
    <t>Ending Customers</t>
  </si>
  <si>
    <t>ARPU Schedule</t>
  </si>
  <si>
    <t>ARPU Growth MRR</t>
  </si>
  <si>
    <t>Beginning MRR</t>
  </si>
  <si>
    <t>ARPU Growth ARR</t>
  </si>
  <si>
    <t>MRR x 12 and ARR different?</t>
  </si>
  <si>
    <t>Headcount Forecast</t>
  </si>
  <si>
    <t>Headcount Roll-Forward</t>
  </si>
  <si>
    <t>AE</t>
  </si>
  <si>
    <t>Beginning FTE</t>
  </si>
  <si>
    <t>Hires</t>
  </si>
  <si>
    <t>Ending FTE</t>
  </si>
  <si>
    <t>SDR</t>
  </si>
  <si>
    <t>CSM</t>
  </si>
  <si>
    <t>Product</t>
  </si>
  <si>
    <t>G&amp;A</t>
  </si>
  <si>
    <t>Total Company</t>
  </si>
  <si>
    <t>Average FTE</t>
  </si>
  <si>
    <t>Annual Salary</t>
  </si>
  <si>
    <t>Payroll Tax %</t>
  </si>
  <si>
    <t>Personnel Expense</t>
  </si>
  <si>
    <t>Monthly Personnel Cost</t>
  </si>
  <si>
    <t>Headcount metrics</t>
  </si>
  <si>
    <t>Net Hires</t>
  </si>
  <si>
    <t>Headcount Growth %</t>
  </si>
  <si>
    <t>Pesonnel Cost per Employee</t>
  </si>
  <si>
    <t>Personnel Expense as % of ARR</t>
  </si>
  <si>
    <t>Total FTE Check</t>
  </si>
  <si>
    <t>Account Executive Hires</t>
  </si>
  <si>
    <t>Sales Development Rep Hires</t>
  </si>
  <si>
    <t>Total Personnel Expense</t>
  </si>
  <si>
    <t>AE Personnel Expense</t>
  </si>
  <si>
    <t>SDR Personnel Expense</t>
  </si>
  <si>
    <t>CSM Personnel Expense</t>
  </si>
  <si>
    <t>Product Personnel Expense</t>
  </si>
  <si>
    <t>G&amp;A Personnel Expense</t>
  </si>
  <si>
    <t>Inputs</t>
  </si>
  <si>
    <t>Operating Expenses</t>
  </si>
  <si>
    <t>Marketing Spend</t>
  </si>
  <si>
    <t>Total Operating Expenses</t>
  </si>
  <si>
    <t>OpEx Metrics</t>
  </si>
  <si>
    <t>Total OpEx</t>
  </si>
  <si>
    <t>OpEx as % of ARR</t>
  </si>
  <si>
    <t>Personnel Expense % of Total OpEx</t>
  </si>
  <si>
    <t>Marketing Spend % of Total OpEx</t>
  </si>
  <si>
    <t>CapEx</t>
  </si>
  <si>
    <t>Beginning Cash</t>
  </si>
  <si>
    <t>Fundraising</t>
  </si>
  <si>
    <t>Cash Metrics</t>
  </si>
  <si>
    <t>Fundraising Analysis</t>
  </si>
  <si>
    <t>OpEx Drivers</t>
  </si>
  <si>
    <t>CapEx Driver</t>
  </si>
  <si>
    <t>CapEx % of ARR</t>
  </si>
  <si>
    <t>Net Monthly Cash Burn</t>
  </si>
  <si>
    <t>Funding Drivers</t>
  </si>
  <si>
    <t>Funding Amount</t>
  </si>
  <si>
    <t>Minimum Runway Treshold (months)</t>
  </si>
  <si>
    <t>Funding Trigger</t>
  </si>
  <si>
    <t>Funded Through FCF Breakeven?</t>
  </si>
  <si>
    <t>FCF Breakeven Month</t>
  </si>
  <si>
    <t>Funding Round</t>
  </si>
  <si>
    <t>Series B</t>
  </si>
  <si>
    <t>Funding Trigger = Yes if company is not funded through FCF breakeven.</t>
  </si>
  <si>
    <t>Funding Month</t>
  </si>
  <si>
    <t>Pre-Funding Ending Cash</t>
  </si>
  <si>
    <t>Actual Ending Cash</t>
  </si>
  <si>
    <t>Cash Roll-Forward Pre-Funding</t>
  </si>
  <si>
    <t>Pre-Funding Runway (months)</t>
  </si>
  <si>
    <t>Actual Runway (months)</t>
  </si>
  <si>
    <t>Cash Roll-Forward Actual</t>
  </si>
  <si>
    <t>Pre-Funding Cash Roll-Forward Check</t>
  </si>
  <si>
    <t>Actual Cash Roll-Forward Check</t>
  </si>
  <si>
    <t>Funding Check</t>
  </si>
  <si>
    <t>Pre-Funding Cash Continuity Check</t>
  </si>
  <si>
    <t>Actual Cash Continuity Check</t>
  </si>
  <si>
    <t>Model Integrity Checks</t>
  </si>
  <si>
    <t>Actual Beginning Cash</t>
  </si>
  <si>
    <t>Growth Performance</t>
  </si>
  <si>
    <t>MRR Inflow/Outflow</t>
  </si>
  <si>
    <t>ARPU</t>
  </si>
  <si>
    <t>Graphing Data</t>
  </si>
  <si>
    <t>Operating Efficiency</t>
  </si>
  <si>
    <t>Liquidity &amp; Cash Flow</t>
  </si>
  <si>
    <t>Funding &amp; Runway</t>
  </si>
  <si>
    <t>Cash &amp; Fundraising Analysis</t>
  </si>
  <si>
    <t>Income Statement</t>
  </si>
  <si>
    <t>Cash Flow Statement</t>
  </si>
  <si>
    <t>Balance Sheet</t>
  </si>
  <si>
    <t>Revenue</t>
  </si>
  <si>
    <t>Gross Profit</t>
  </si>
  <si>
    <t>Other</t>
  </si>
  <si>
    <t>EBITDA</t>
  </si>
  <si>
    <t>Depreciation</t>
  </si>
  <si>
    <t>EBIT</t>
  </si>
  <si>
    <t>Interest Income</t>
  </si>
  <si>
    <t>EBT</t>
  </si>
  <si>
    <t>Current Tax</t>
  </si>
  <si>
    <t>Net Income</t>
  </si>
  <si>
    <t>Subtotal</t>
  </si>
  <si>
    <t>Capital Expenditure</t>
  </si>
  <si>
    <t>Cash From Financing</t>
  </si>
  <si>
    <t>Dividends</t>
  </si>
  <si>
    <t>Cash Balance</t>
  </si>
  <si>
    <t>Change in Cash</t>
  </si>
  <si>
    <t>Accounts Receivable</t>
  </si>
  <si>
    <t>Total Current Assets</t>
  </si>
  <si>
    <t>Property Plant &amp; Equipment</t>
  </si>
  <si>
    <t>Total Assets</t>
  </si>
  <si>
    <t>ASSETS</t>
  </si>
  <si>
    <t>LIABILITIES</t>
  </si>
  <si>
    <t>Accounts Payable</t>
  </si>
  <si>
    <t>Total Liabilities</t>
  </si>
  <si>
    <t>EQUITY</t>
  </si>
  <si>
    <t>Retained Earnings</t>
  </si>
  <si>
    <t>Total Shareholders' Equity</t>
  </si>
  <si>
    <t>Total Liabilities &amp; Equity</t>
  </si>
  <si>
    <t>Cost of Revenue</t>
  </si>
  <si>
    <t>Gross Margin</t>
  </si>
  <si>
    <t>EBITDA Margin</t>
  </si>
  <si>
    <t>Accrued Expenses</t>
  </si>
  <si>
    <t>Deferred Revenue</t>
  </si>
  <si>
    <t>Change in Share Capital / APIC</t>
  </si>
  <si>
    <t>Share Capital / APIC</t>
  </si>
  <si>
    <t>Sales &amp; Marketing</t>
  </si>
  <si>
    <t>R&amp;D / Product</t>
  </si>
  <si>
    <t>Cash From Operating Activities</t>
  </si>
  <si>
    <t>Changes in Working Capital</t>
  </si>
  <si>
    <t>Change in Accounts Receivable</t>
  </si>
  <si>
    <t>Change in Accounts Payable</t>
  </si>
  <si>
    <t>Change in Accrued Expenses</t>
  </si>
  <si>
    <t>Change in Prepaid Expenses</t>
  </si>
  <si>
    <t>Cash From Investing Activities</t>
  </si>
  <si>
    <t>Coporate Tax Rate</t>
  </si>
  <si>
    <t>Customer Succes Personnel</t>
  </si>
  <si>
    <t>Hosting &amp; Infrastructure</t>
  </si>
  <si>
    <t>Monthly Sales &amp; Marketing Expense</t>
  </si>
  <si>
    <t>Monthly G&amp;A Expense</t>
  </si>
  <si>
    <t>Non-Personnel G&amp;A Spend</t>
  </si>
  <si>
    <t>Monthly OpEx</t>
  </si>
  <si>
    <t>Non-Pers. G&amp;A Spend % of Total OpEx</t>
  </si>
  <si>
    <t>Cost of Revenue Schedule</t>
  </si>
  <si>
    <t>Customer Succes Personnel Expense</t>
  </si>
  <si>
    <t>Monthly Cost of Revenue</t>
  </si>
  <si>
    <t>Total Monthly Cost of Revenue</t>
  </si>
  <si>
    <t>Cost of Revenue Driver</t>
  </si>
  <si>
    <t>Hosting &amp; Infrastructure (% ARR)</t>
  </si>
  <si>
    <t>Working Capital Schedule</t>
  </si>
  <si>
    <t>Deferred Revenue Schedule</t>
  </si>
  <si>
    <t>PP&amp;E &amp; Depreciation Schedule</t>
  </si>
  <si>
    <t>Equity Schedule</t>
  </si>
  <si>
    <t>Billings</t>
  </si>
  <si>
    <t>Beginning Deferred Revenue</t>
  </si>
  <si>
    <t>Beginning Gross PP&amp;E</t>
  </si>
  <si>
    <t>Ending Gross PP&amp;E</t>
  </si>
  <si>
    <t>Beginning Accumulated Depreciation</t>
  </si>
  <si>
    <t>Depreciation Expense</t>
  </si>
  <si>
    <t>Ending Accumulated Depreciation</t>
  </si>
  <si>
    <t>Net PP&amp;E</t>
  </si>
  <si>
    <t>Beginning Balance</t>
  </si>
  <si>
    <t>Equity Funding</t>
  </si>
  <si>
    <t>Ending Balance</t>
  </si>
  <si>
    <t>Total Equity</t>
  </si>
  <si>
    <t>Operating Inputs</t>
  </si>
  <si>
    <t>Days in Period</t>
  </si>
  <si>
    <t>Relevant Costs</t>
  </si>
  <si>
    <t>Working Capital Drivers</t>
  </si>
  <si>
    <t>(Days)</t>
  </si>
  <si>
    <t>Accounts Receivable - DSO</t>
  </si>
  <si>
    <t>Accounts Payable - DPO</t>
  </si>
  <si>
    <t>Prepaid Expenses</t>
  </si>
  <si>
    <t>Ending Balances</t>
  </si>
  <si>
    <t>Cash from Working Capital</t>
  </si>
  <si>
    <t>Days per Month</t>
  </si>
  <si>
    <t>Accrued Expenses (% of relevant expenses)</t>
  </si>
  <si>
    <t>Prepaid Expenses (% of relevant expenses)</t>
  </si>
  <si>
    <t>Accounts Receivable Days</t>
  </si>
  <si>
    <t>Accounts Payable Days</t>
  </si>
  <si>
    <t>Annual Prepaid Customers</t>
  </si>
  <si>
    <t>Annual Prepaid %</t>
  </si>
  <si>
    <t>Total Billings</t>
  </si>
  <si>
    <t>Deffered Revenue Roll-Forward</t>
  </si>
  <si>
    <t>Executive Dashboard</t>
  </si>
  <si>
    <t>Contact Details:</t>
  </si>
  <si>
    <t>Ending Deferred Revenue</t>
  </si>
  <si>
    <t>Change in Deferred Revenue</t>
  </si>
  <si>
    <t>Revenue Recognized</t>
  </si>
  <si>
    <t>Deferred Revenue Drivers</t>
  </si>
  <si>
    <t>Annual Contract Term</t>
  </si>
  <si>
    <t>Average Remaining Contract Months</t>
  </si>
  <si>
    <t>Revenue from Annual Prepaid Contracts</t>
  </si>
  <si>
    <t>PP&amp;E &amp; Depreciation Drivers</t>
  </si>
  <si>
    <t>PP&amp;E Useful Life</t>
  </si>
  <si>
    <t>Gross PP&amp;E</t>
  </si>
  <si>
    <t>Accumulated Depreciation</t>
  </si>
  <si>
    <t>Useful Life</t>
  </si>
  <si>
    <t>(months)</t>
  </si>
  <si>
    <t>Capital Expenditures</t>
  </si>
  <si>
    <t>Ending Net PP&amp;E</t>
  </si>
  <si>
    <t>Existing PP&amp;E Depreciation</t>
  </si>
  <si>
    <t>New PP&amp;E Depreciation</t>
  </si>
  <si>
    <t>Total Depreciation</t>
  </si>
  <si>
    <t>Opening Net PP&amp;E Remaining Life</t>
  </si>
  <si>
    <t>Existing PP&amp;E Remaining Life</t>
  </si>
  <si>
    <t>Ending Share Capital / APIC</t>
  </si>
  <si>
    <t>Ending Retained Earnings</t>
  </si>
  <si>
    <t>Interest Rate on Cash</t>
  </si>
  <si>
    <t>Dividend Payout</t>
  </si>
  <si>
    <t>Anarion Systems BV | 24-Month Driver-Based Forecast</t>
  </si>
  <si>
    <t>Free Cash Flow</t>
  </si>
  <si>
    <t>Monthly Recurring Revenue</t>
  </si>
  <si>
    <t>Beginning Customers</t>
  </si>
  <si>
    <t>Lost Customers</t>
  </si>
  <si>
    <t>Annual Recurring Revenue</t>
  </si>
  <si>
    <t>Customer Growth &amp; Retention</t>
  </si>
  <si>
    <t>ARPU &amp; Gross Churn</t>
  </si>
  <si>
    <t>Gross Margin %</t>
  </si>
  <si>
    <t>EBITDA Margin %</t>
  </si>
  <si>
    <t>Revenue per FTE</t>
  </si>
  <si>
    <t>Expenses</t>
  </si>
  <si>
    <t>Customer Success Personnel</t>
  </si>
  <si>
    <t>R&amp;D/Product</t>
  </si>
  <si>
    <t>Margins</t>
  </si>
  <si>
    <t>FY2026</t>
  </si>
  <si>
    <t>FY2027</t>
  </si>
  <si>
    <t>Benchmark Rule of 40</t>
  </si>
  <si>
    <t>Ending Cash</t>
  </si>
  <si>
    <t>Other Cash Metrics</t>
  </si>
  <si>
    <t>ENDING CASH</t>
  </si>
  <si>
    <t>NET MONTHLY CASH BURN</t>
  </si>
  <si>
    <t>Quarterly Trend</t>
  </si>
  <si>
    <t>FCF Breakeven Month:</t>
  </si>
  <si>
    <t>Pre-Funding Runway</t>
  </si>
  <si>
    <t>Funding Required?</t>
  </si>
  <si>
    <t>Funding Threshold</t>
  </si>
  <si>
    <t>Other Funding &amp; Runway Metrics</t>
  </si>
  <si>
    <t xml:space="preserve">Pre-Funding Runway (capped at 36 months) </t>
  </si>
  <si>
    <t>FUNDING NEEDED?</t>
  </si>
  <si>
    <t>FUNDING MONTH</t>
  </si>
  <si>
    <t>FUNDING AMOUNT</t>
  </si>
  <si>
    <t>FUNDING ROUND</t>
  </si>
  <si>
    <t>Financial Summary</t>
  </si>
  <si>
    <t>P&amp;L Summary</t>
  </si>
  <si>
    <t>Balance Sheet Summary</t>
  </si>
  <si>
    <t>Cash From Operations</t>
  </si>
  <si>
    <t>Cash From Investing</t>
  </si>
  <si>
    <t>Current Assets</t>
  </si>
  <si>
    <t>Non-current Assets</t>
  </si>
  <si>
    <t>Assets</t>
  </si>
  <si>
    <t>Liabilities &amp; Equity</t>
  </si>
  <si>
    <t>Tax</t>
  </si>
  <si>
    <t>Interest income</t>
  </si>
  <si>
    <t>Cash Flow Summary</t>
  </si>
  <si>
    <t>Personnel Cost Check</t>
  </si>
  <si>
    <t>Model Integrity Check</t>
  </si>
  <si>
    <t>Deffered Revenue Roll-Forward Check</t>
  </si>
  <si>
    <t>Billings Check</t>
  </si>
  <si>
    <t>Net PP&amp;E Check</t>
  </si>
  <si>
    <t>Cash Balance Check</t>
  </si>
  <si>
    <t>Core Capabilities</t>
  </si>
  <si>
    <t>Driver-Based Forecasting · SaaS Metrics &amp; KPI Reporting · Headcount Planning</t>
  </si>
  <si>
    <t>Non-Personnel G&amp;A Spend (% ARR)</t>
  </si>
  <si>
    <t>Average Monthly Cash Burn</t>
  </si>
  <si>
    <t>Table of Contents</t>
  </si>
  <si>
    <t>SaaS Unit Economics</t>
  </si>
  <si>
    <t>Monthly Gross Churn %</t>
  </si>
  <si>
    <t>CAC</t>
  </si>
  <si>
    <t>LTV</t>
  </si>
  <si>
    <t>LTV/CAC</t>
  </si>
  <si>
    <t>CAC Payback</t>
  </si>
  <si>
    <t>Customer Acquisition % of S&amp;M Expense</t>
  </si>
  <si>
    <t>Customer Acquisition Driver</t>
  </si>
  <si>
    <t>Acquisition S&amp;M Expense</t>
  </si>
  <si>
    <t>(ratio)</t>
  </si>
  <si>
    <t>Unit Economics</t>
  </si>
  <si>
    <t>Quarterly Summary</t>
  </si>
  <si>
    <t>Annual Summary</t>
  </si>
  <si>
    <t xml:space="preserve">Gross Margin % </t>
  </si>
  <si>
    <t>Growth Sensitivity</t>
  </si>
  <si>
    <t xml:space="preserve">Lead Growth </t>
  </si>
  <si>
    <t>Profitability Sensitivity</t>
  </si>
  <si>
    <t>FY2027 EBITDA Margin %</t>
  </si>
  <si>
    <t>Liquidity Sensitivity</t>
  </si>
  <si>
    <t>Output =</t>
  </si>
  <si>
    <t>Operating Sensitivity Analysis</t>
  </si>
  <si>
    <t>FY2027 Pre-Funding Ending Cash</t>
  </si>
  <si>
    <t>FY2027 Ending ARR</t>
  </si>
  <si>
    <t>Sensitivity Adjustments</t>
  </si>
  <si>
    <t>Sustained FCF Breakeven Month</t>
  </si>
  <si>
    <t>Sustained FCF Positive</t>
  </si>
  <si>
    <t>Customer Bridge FY2027</t>
  </si>
  <si>
    <t>Customer Bridge FY2026</t>
  </si>
  <si>
    <t>Headcount &amp; Revenue per FTE</t>
  </si>
  <si>
    <t>Free Cash Flow &amp; Cash Balance</t>
  </si>
  <si>
    <t>Operational Model</t>
  </si>
  <si>
    <t>Valuation</t>
  </si>
  <si>
    <t>Cash &amp; Runway Analysis · Scenario &amp; Sensitivity Analysis · Business Valuation</t>
  </si>
  <si>
    <t>Financial Analyst</t>
  </si>
  <si>
    <t>SaaS Operating, 3-Statement &amp; Valuation Financial Model</t>
  </si>
  <si>
    <t>Gale Suer -  Financial Analyst</t>
  </si>
  <si>
    <t>Gale Suer - Financial Analyst</t>
  </si>
  <si>
    <t>Long-Term Valuation Assumptions</t>
  </si>
  <si>
    <t>Revenue Growth</t>
  </si>
  <si>
    <t>CapEx % Revenue</t>
  </si>
  <si>
    <t>NWC % Revenue</t>
  </si>
  <si>
    <t>WACC</t>
  </si>
  <si>
    <t>Terminal Growth Rate</t>
  </si>
  <si>
    <t>Term.</t>
  </si>
  <si>
    <t>Valuation Assumptions</t>
  </si>
  <si>
    <t>Weighted Average Cost of Capital</t>
  </si>
  <si>
    <t>Name</t>
  </si>
  <si>
    <t>Debt</t>
  </si>
  <si>
    <t>Equity</t>
  </si>
  <si>
    <t>Average</t>
  </si>
  <si>
    <t>Tax Rate</t>
  </si>
  <si>
    <t>Debt/</t>
  </si>
  <si>
    <t>Capital</t>
  </si>
  <si>
    <t>Levered</t>
  </si>
  <si>
    <t>Beta</t>
  </si>
  <si>
    <t>Median</t>
  </si>
  <si>
    <t>Risk Premium for Equity</t>
  </si>
  <si>
    <t>Market Risk Premium</t>
  </si>
  <si>
    <t>Equity Risk Premium</t>
  </si>
  <si>
    <t>Cost of Equity</t>
  </si>
  <si>
    <t>Unlev.</t>
  </si>
  <si>
    <t>Risk Free Rate</t>
  </si>
  <si>
    <t>Country Risk Premium</t>
  </si>
  <si>
    <t>Capital Structure</t>
  </si>
  <si>
    <t>Cost of Debt</t>
  </si>
  <si>
    <t>Total Debt</t>
  </si>
  <si>
    <t>Total Capitalization</t>
  </si>
  <si>
    <t>Pre-Tax Cost of Debt</t>
  </si>
  <si>
    <t>Debt / Equity</t>
  </si>
  <si>
    <t>Current</t>
  </si>
  <si>
    <t>Target</t>
  </si>
  <si>
    <t>Debt Capital</t>
  </si>
  <si>
    <t>Equity Capital</t>
  </si>
  <si>
    <t>Weight</t>
  </si>
  <si>
    <t>Cost</t>
  </si>
  <si>
    <t>Relevered Beta</t>
  </si>
  <si>
    <t>TeamViewer</t>
  </si>
  <si>
    <t>Nemetschek</t>
  </si>
  <si>
    <t xml:space="preserve">Vitec Software </t>
  </si>
  <si>
    <t>Country</t>
  </si>
  <si>
    <t>Sweden</t>
  </si>
  <si>
    <t>Germany</t>
  </si>
  <si>
    <t>Qt Group</t>
  </si>
  <si>
    <t>Finland</t>
  </si>
  <si>
    <t>Truecaller</t>
  </si>
  <si>
    <t>Sinch</t>
  </si>
  <si>
    <t>Reference date for peer group data is 31-12-2025.</t>
  </si>
  <si>
    <t>Median Unlevered Beta</t>
  </si>
  <si>
    <t>After-Tax Cost of Debt</t>
  </si>
  <si>
    <t>Levered beta is based on 5-year Monthly data.</t>
  </si>
  <si>
    <t>EBIT Margin</t>
  </si>
  <si>
    <t>Long Term Financial Forecast</t>
  </si>
  <si>
    <t>Operational Data Schedule</t>
  </si>
  <si>
    <t xml:space="preserve">Depreciation % Revenue </t>
  </si>
  <si>
    <t>OpEx (Sales &amp; Marketing + R&amp;D/Product + G&amp;A)</t>
  </si>
  <si>
    <t>Unlevered Free Cash Flow Schedule</t>
  </si>
  <si>
    <t>EBITDA Method</t>
  </si>
  <si>
    <t>Unlevered Free Cash Flow</t>
  </si>
  <si>
    <t>Financial Forecast</t>
  </si>
  <si>
    <t>Net Working Capital</t>
  </si>
  <si>
    <t>Change in Net Working Capital</t>
  </si>
  <si>
    <t>Change in Net Working Capital (ex. Deferred Revenue)</t>
  </si>
  <si>
    <t>(-) Change in NWC</t>
  </si>
  <si>
    <t>Ending NWC</t>
  </si>
  <si>
    <t>Ending Net Working Capital</t>
  </si>
  <si>
    <t>Discounted Cash Flow Schedule: Perpetuity Method</t>
  </si>
  <si>
    <t>Fiscal Year End</t>
  </si>
  <si>
    <t>Cash Flow Timing</t>
  </si>
  <si>
    <t>First date of forecast</t>
  </si>
  <si>
    <t>Discrete Forecast</t>
  </si>
  <si>
    <t>Forecast</t>
  </si>
  <si>
    <t>First Cash Flow Date</t>
  </si>
  <si>
    <t>Valuation Date</t>
  </si>
  <si>
    <t>Unadjusted Cash Flow</t>
  </si>
  <si>
    <t>Terminal Value</t>
  </si>
  <si>
    <t>Total Cash Flow</t>
  </si>
  <si>
    <t>Adjusted Cash Flow</t>
  </si>
  <si>
    <t>Partial Period Adjustment</t>
  </si>
  <si>
    <t>Discounted Cash Flow</t>
  </si>
  <si>
    <t>Years for Discounting</t>
  </si>
  <si>
    <t>Enterprise Value</t>
  </si>
  <si>
    <t>Manual Method</t>
  </si>
  <si>
    <t>XNPV Function</t>
  </si>
  <si>
    <t>Equity Value</t>
  </si>
  <si>
    <t>PV of Discrete</t>
  </si>
  <si>
    <t>PV of Terminal</t>
  </si>
  <si>
    <t>Due to the treatment of leap years, XNPV differs slightly from the Manual Method.</t>
  </si>
  <si>
    <t>Discounted Cash Flow Schedule: Multiple Method</t>
  </si>
  <si>
    <t>EV/EBITDA Multiple</t>
  </si>
  <si>
    <t>Relative Valuation: Trading Comparables</t>
  </si>
  <si>
    <t>EV</t>
  </si>
  <si>
    <t>Peer</t>
  </si>
  <si>
    <t>EV/</t>
  </si>
  <si>
    <t>Maximum</t>
  </si>
  <si>
    <t>Minimum</t>
  </si>
  <si>
    <t>Anarion Systems Trading Comps Valuation</t>
  </si>
  <si>
    <t>Peer Median EV/Revenue</t>
  </si>
  <si>
    <t>Implied Enterprise Value</t>
  </si>
  <si>
    <t>EV/Revenue Valuation</t>
  </si>
  <si>
    <t>EV/EBITDA Valuation</t>
  </si>
  <si>
    <t>Peer Median EV/EBITDA</t>
  </si>
  <si>
    <t>Equity Value Bridge</t>
  </si>
  <si>
    <t>Plus: Cash</t>
  </si>
  <si>
    <t>Less: Debt</t>
  </si>
  <si>
    <t>Implied Equity Value</t>
  </si>
  <si>
    <t>Market data as of 31-03-2026.</t>
  </si>
  <si>
    <t>Forward estimates based on analyst consensus.</t>
  </si>
  <si>
    <t>EV figures rounded where applicable.</t>
  </si>
  <si>
    <t>The 9.0x Terminal EV/EBITDA Multiple reflects a steady-state industry multiple for a mature SaaS business.</t>
  </si>
  <si>
    <t>Terminal EBITDA Multiple</t>
  </si>
  <si>
    <t>Terminal Adjustment</t>
  </si>
  <si>
    <t>Size Premium</t>
  </si>
  <si>
    <t xml:space="preserve"> based on company size relative to publicly traded companies.</t>
  </si>
  <si>
    <t>Size Premium estimated using the Kroll/CRSP Size Premium methodology,</t>
  </si>
  <si>
    <t>Announcement</t>
  </si>
  <si>
    <t>Acquirer</t>
  </si>
  <si>
    <t>EV / NTM Revenue</t>
  </si>
  <si>
    <t>Jamf</t>
  </si>
  <si>
    <t>Francisco Partners</t>
  </si>
  <si>
    <t>Integral Ad Science</t>
  </si>
  <si>
    <t>Novacap</t>
  </si>
  <si>
    <t>PROS Holdings</t>
  </si>
  <si>
    <t>Thoma Bravo</t>
  </si>
  <si>
    <t>Olo</t>
  </si>
  <si>
    <t>Zuora</t>
  </si>
  <si>
    <t>Silver Lake</t>
  </si>
  <si>
    <t>WalkMe</t>
  </si>
  <si>
    <t>SAP</t>
  </si>
  <si>
    <t>LiveVox</t>
  </si>
  <si>
    <t>NICE</t>
  </si>
  <si>
    <t>Momentive Global</t>
  </si>
  <si>
    <t>STG Partners</t>
  </si>
  <si>
    <t>Relative Valuation: Precedent Transactions</t>
  </si>
  <si>
    <t xml:space="preserve"> based on announced enterprise values and forward revenue estimates where available.</t>
  </si>
  <si>
    <t>Source: Publicly disclosed transaction data and M&amp;A materials. Transaction multiples are</t>
  </si>
  <si>
    <t>NTM Revenue (Apr-26 - Mar-27)</t>
  </si>
  <si>
    <t>Precedent Transactions Median EV / NTM Revenue</t>
  </si>
  <si>
    <t>(+) Cash</t>
  </si>
  <si>
    <t>(-) Debt</t>
  </si>
  <si>
    <t>Valuation Summary</t>
  </si>
  <si>
    <t>Comparable Companies</t>
  </si>
  <si>
    <t>Precedent Transactions</t>
  </si>
  <si>
    <t>DCF - Multiple Method</t>
  </si>
  <si>
    <t>DCF - Perpetuity Method</t>
  </si>
  <si>
    <t>Low</t>
  </si>
  <si>
    <t>High</t>
  </si>
  <si>
    <t>Comparable Companies FY2026</t>
  </si>
  <si>
    <t>Comparable Companies FY2027</t>
  </si>
  <si>
    <t>DCF: Perpetuity Method</t>
  </si>
  <si>
    <t>DCF: Multiple Method</t>
  </si>
  <si>
    <t>Terminal EV/EBITDA Multiple</t>
  </si>
  <si>
    <t>Average Valuation</t>
  </si>
  <si>
    <t>Range</t>
  </si>
  <si>
    <t>Enterprise Value Sensitivity</t>
  </si>
  <si>
    <t>Football Field Chart</t>
  </si>
  <si>
    <t>Chart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</si>
</sst>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7">
    <numFmt numFmtId="164" formatCode="mmm_)"/>
    <numFmt numFmtId="165" formatCode=";;;"/>
    <numFmt numFmtId="166" formatCode="\Q0_)"/>
    <numFmt numFmtId="167" formatCode="0_)"/>
    <numFmt numFmtId="168" formatCode="_(#,##0.0%_);\(#,##0.0%\);_(&quot;–&quot;_)_%;_(@_)_%"/>
    <numFmt numFmtId="169" formatCode="_(#,##0_);\(#,##0\);_(&quot;–&quot;_);_(@_)"/>
    <numFmt numFmtId="170" formatCode="_(#,##0%_);\(#,##0%\);_(&quot;–&quot;_)_%;_(@_)_%"/>
    <numFmt numFmtId="171" formatCode="_(#,##0.0_);\(#,##0.0\);_(&quot;–&quot;_);_(@_)"/>
    <numFmt numFmtId="172" formatCode="_(#,##0.00_);\(#,##0.00\);_(&quot;–&quot;_);_(@_)"/>
    <numFmt numFmtId="173" formatCode="&quot;Yes&quot;;&quot;ERROR&quot;;&quot;No&quot;;&quot;ERROR&quot;"/>
    <numFmt numFmtId="174" formatCode="[=1]&quot;ERROR&quot;;[=0]&quot;-&quot;"/>
    <numFmt numFmtId="175" formatCode="mmm/yyyy"/>
    <numFmt numFmtId="176" formatCode="@\⁽\¹\⁾"/>
    <numFmt numFmtId="177" formatCode="&quot;ERROR&quot;;&quot;ERROR&quot;;&quot;-&quot;"/>
    <numFmt numFmtId="178" formatCode="_(#,##0.0%_);\(#,##0.0%\);_(&quot;-&quot;_)_%;_(@_)_%"/>
    <numFmt numFmtId="179" formatCode="mmm/yyyy_)"/>
    <numFmt numFmtId="180" formatCode="&quot;€&quot;\ #,##0_)"/>
    <numFmt numFmtId="181" formatCode="&quot;YES&quot;;&quot;ERROR&quot;;&quot;NO&quot;;&quot;ERROR&quot;"/>
    <numFmt numFmtId="182" formatCode="mmm/yy_)"/>
    <numFmt numFmtId="183" formatCode="\F\Y0_)"/>
    <numFmt numFmtId="184" formatCode="&quot;✖️&quot;;;&quot;☑️&quot;"/>
    <numFmt numFmtId="185" formatCode="0.0\x_)"/>
    <numFmt numFmtId="186" formatCode="0.0"/>
    <numFmt numFmtId="187" formatCode="0.0_)"/>
    <numFmt numFmtId="188" formatCode="0.0%_)"/>
    <numFmt numFmtId="189" formatCode="\+0.0%_)"/>
    <numFmt numFmtId="190" formatCode="\=&quot;Google Drive Link&quot;"/>
    <numFmt numFmtId="191" formatCode="@\⁽\²\⁾"/>
    <numFmt numFmtId="192" formatCode="_(#,##0.00%_);\(#,##0.00%\);_(&quot;-&quot;_)_%;_(@_)_%"/>
    <numFmt numFmtId="193" formatCode="0.00%_)"/>
    <numFmt numFmtId="194" formatCode="dd/mm/yy_)"/>
    <numFmt numFmtId="195" formatCode="dd/mm/yyyy_)"/>
    <numFmt numFmtId="196" formatCode="_(#,##0_);\(#,##0\);_(&quot;NM&quot;_);_(@_)"/>
    <numFmt numFmtId="197" formatCode="@\⁽\³\⁾"/>
    <numFmt numFmtId="198" formatCode="_(#,##0.00%_);\(#,##0.00%\);_(&quot;–&quot;_)_%;_(@_)_%"/>
    <numFmt numFmtId="199" formatCode="_(#,##0.00%_);\(#,##0.00%\);_%;_(@_)_%"/>
    <numFmt numFmtId="200" formatCode="[$-F400]h:mm:ss\ AM/PM"/>
  </numFmts>
  <fonts count="28" x14ac:knownFonts="1">
    <font>
      <sz val="10"/>
      <color theme="1"/>
      <name val="Open Sans"/>
      <family val="2"/>
    </font>
    <font>
      <b/>
      <sz val="10"/>
      <color theme="0"/>
      <name val="Open Sans"/>
      <family val="2"/>
    </font>
    <font>
      <b/>
      <sz val="10"/>
      <color theme="1"/>
      <name val="Open Sans"/>
      <family val="2"/>
    </font>
    <font>
      <sz val="10"/>
      <color theme="0"/>
      <name val="Open Sans"/>
      <family val="2"/>
    </font>
    <font>
      <b/>
      <sz val="14"/>
      <color rgb="FF0047AB"/>
      <name val="Open Sans"/>
      <family val="2"/>
    </font>
    <font>
      <b/>
      <sz val="14"/>
      <color rgb="FF3271D2"/>
      <name val="Open Sans"/>
      <family val="2"/>
    </font>
    <font>
      <sz val="10"/>
      <name val="Open Sans"/>
      <family val="2"/>
    </font>
    <font>
      <sz val="14"/>
      <color theme="0"/>
      <name val="Open Sans"/>
      <family val="2"/>
    </font>
    <font>
      <b/>
      <sz val="14"/>
      <color theme="0"/>
      <name val="Open Sans"/>
      <family val="2"/>
    </font>
    <font>
      <sz val="10"/>
      <color rgb="FF3271D2"/>
      <name val="Open Sans"/>
      <family val="2"/>
    </font>
    <font>
      <sz val="12"/>
      <color rgb="FF3271D2"/>
      <name val="Open Sans"/>
      <family val="2"/>
    </font>
    <font>
      <u/>
      <sz val="10"/>
      <color theme="10"/>
      <name val="Open Sans"/>
      <family val="2"/>
    </font>
    <font>
      <u/>
      <sz val="10"/>
      <color theme="0"/>
      <name val="Open Sans"/>
      <family val="2"/>
    </font>
    <font>
      <sz val="10"/>
      <color rgb="FF0A1C3A"/>
      <name val="Open Sans"/>
      <family val="2"/>
    </font>
    <font>
      <b/>
      <sz val="14"/>
      <color rgb="FF0A1C3A"/>
      <name val="Open Sans"/>
      <family val="2"/>
    </font>
    <font>
      <i/>
      <sz val="9"/>
      <name val="Open Sans"/>
      <family val="2"/>
    </font>
    <font>
      <i/>
      <sz val="8"/>
      <color theme="1"/>
      <name val="Open Sans"/>
      <family val="2"/>
    </font>
    <font>
      <b/>
      <sz val="10"/>
      <name val="Open Sans"/>
      <family val="2"/>
    </font>
    <font>
      <sz val="8"/>
      <color theme="1"/>
      <name val="Open Sans"/>
      <family val="2"/>
    </font>
    <font>
      <i/>
      <sz val="10"/>
      <color theme="1"/>
      <name val="Open Sans"/>
      <family val="2"/>
    </font>
    <font>
      <b/>
      <sz val="20"/>
      <color theme="0"/>
      <name val="Open Sans"/>
      <family val="2"/>
    </font>
    <font>
      <sz val="20"/>
      <color theme="0"/>
      <name val="Open Sans"/>
      <family val="2"/>
    </font>
    <font>
      <b/>
      <sz val="20"/>
      <color rgb="FF0A1C3A"/>
      <name val="Open Sans"/>
      <family val="2"/>
    </font>
    <font>
      <u/>
      <sz val="12"/>
      <color rgb="FF3271D2"/>
      <name val="Open Sans"/>
      <family val="2"/>
    </font>
    <font>
      <b/>
      <sz val="11"/>
      <color theme="1"/>
      <name val="Open Sans"/>
      <family val="2"/>
    </font>
    <font>
      <sz val="11"/>
      <color theme="1"/>
      <name val="Open Sans"/>
      <family val="2"/>
    </font>
    <font>
      <sz val="9"/>
      <color theme="1"/>
      <name val="Open Sans"/>
      <family val="2"/>
    </font>
    <font>
      <b/>
      <sz val="9"/>
      <color theme="1"/>
      <name val="Open Sans"/>
      <family val="2"/>
    </font>
  </fonts>
  <fills count="5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0A1C3A"/>
        <bgColor indexed="64"/>
      </patternFill>
    </fill>
    <fill>
      <patternFill patternType="solid">
        <fgColor theme="0" tint="-4.9989318521683403E-2"/>
        <bgColor indexed="64"/>
      </patternFill>
    </fill>
  </fills>
  <borders count="64">
    <border>
      <left/>
      <right/>
      <top/>
      <bottom/>
      <diagonal/>
    </border>
    <border>
      <left style="medium">
        <color rgb="FF0A1C3A"/>
      </left>
      <right/>
      <top style="medium">
        <color rgb="FF0A1C3A"/>
      </top>
      <bottom/>
      <diagonal/>
    </border>
    <border>
      <left/>
      <right/>
      <top style="medium">
        <color rgb="FF0A1C3A"/>
      </top>
      <bottom/>
      <diagonal/>
    </border>
    <border>
      <left/>
      <right style="medium">
        <color rgb="FF0A1C3A"/>
      </right>
      <top style="medium">
        <color rgb="FF0A1C3A"/>
      </top>
      <bottom/>
      <diagonal/>
    </border>
    <border>
      <left style="medium">
        <color rgb="FF0A1C3A"/>
      </left>
      <right/>
      <top/>
      <bottom/>
      <diagonal/>
    </border>
    <border>
      <left/>
      <right style="medium">
        <color rgb="FF0A1C3A"/>
      </right>
      <top/>
      <bottom/>
      <diagonal/>
    </border>
    <border>
      <left style="medium">
        <color rgb="FF0A1C3A"/>
      </left>
      <right/>
      <top/>
      <bottom style="medium">
        <color rgb="FF0A1C3A"/>
      </bottom>
      <diagonal/>
    </border>
    <border>
      <left/>
      <right/>
      <top/>
      <bottom style="medium">
        <color rgb="FF0A1C3A"/>
      </bottom>
      <diagonal/>
    </border>
    <border>
      <left/>
      <right style="medium">
        <color rgb="FF0A1C3A"/>
      </right>
      <top/>
      <bottom style="medium">
        <color rgb="FF0A1C3A"/>
      </bottom>
      <diagonal/>
    </border>
    <border>
      <left/>
      <right/>
      <top/>
      <bottom style="thin">
        <color auto="1"/>
      </bottom>
      <diagonal/>
    </border>
    <border>
      <left style="thin">
        <color rgb="FF3271D2"/>
      </left>
      <right/>
      <top style="thin">
        <color rgb="FF3271D2"/>
      </top>
      <bottom/>
      <diagonal/>
    </border>
    <border>
      <left/>
      <right/>
      <top style="thin">
        <color rgb="FF3271D2"/>
      </top>
      <bottom/>
      <diagonal/>
    </border>
    <border>
      <left/>
      <right style="thin">
        <color rgb="FF3271D2"/>
      </right>
      <top style="thin">
        <color rgb="FF3271D2"/>
      </top>
      <bottom/>
      <diagonal/>
    </border>
    <border>
      <left style="thin">
        <color rgb="FF3271D2"/>
      </left>
      <right/>
      <top/>
      <bottom/>
      <diagonal/>
    </border>
    <border>
      <left/>
      <right style="thin">
        <color rgb="FF3271D2"/>
      </right>
      <top/>
      <bottom/>
      <diagonal/>
    </border>
    <border>
      <left style="thin">
        <color rgb="FF3271D2"/>
      </left>
      <right/>
      <top/>
      <bottom style="thin">
        <color rgb="FF3271D2"/>
      </bottom>
      <diagonal/>
    </border>
    <border>
      <left/>
      <right/>
      <top/>
      <bottom style="thin">
        <color rgb="FF3271D2"/>
      </bottom>
      <diagonal/>
    </border>
    <border>
      <left/>
      <right style="thin">
        <color rgb="FF3271D2"/>
      </right>
      <top/>
      <bottom style="thin">
        <color rgb="FF3271D2"/>
      </bottom>
      <diagonal/>
    </border>
    <border>
      <left/>
      <right style="hair">
        <color rgb="FF3271D2"/>
      </right>
      <top style="thin">
        <color rgb="FF3271D2"/>
      </top>
      <bottom/>
      <diagonal/>
    </border>
    <border>
      <left/>
      <right style="hair">
        <color rgb="FF3271D2"/>
      </right>
      <top/>
      <bottom/>
      <diagonal/>
    </border>
    <border>
      <left/>
      <right style="hair">
        <color rgb="FF3271D2"/>
      </right>
      <top/>
      <bottom style="thin">
        <color rgb="FF3271D2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dashed">
        <color auto="1"/>
      </top>
      <bottom/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dashed">
        <color auto="1"/>
      </left>
      <right/>
      <top/>
      <bottom style="dashed">
        <color auto="1"/>
      </bottom>
      <diagonal/>
    </border>
    <border>
      <left/>
      <right/>
      <top/>
      <bottom style="dashed">
        <color auto="1"/>
      </bottom>
      <diagonal/>
    </border>
    <border>
      <left/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/>
      <top/>
      <bottom/>
      <diagonal/>
    </border>
    <border>
      <left/>
      <right style="dashed">
        <color auto="1"/>
      </right>
      <top/>
      <bottom/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/>
      <top style="thin">
        <color auto="1"/>
      </top>
      <bottom style="dashed">
        <color auto="1"/>
      </bottom>
      <diagonal/>
    </border>
    <border>
      <left/>
      <right/>
      <top style="thin">
        <color auto="1"/>
      </top>
      <bottom style="dashed">
        <color auto="1"/>
      </bottom>
      <diagonal/>
    </border>
    <border>
      <left/>
      <right style="dashed">
        <color auto="1"/>
      </right>
      <top style="thin">
        <color auto="1"/>
      </top>
      <bottom style="dashed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dashed">
        <color auto="1"/>
      </right>
      <top style="thin">
        <color auto="1"/>
      </top>
      <bottom/>
      <diagonal/>
    </border>
    <border>
      <left style="dashed">
        <color auto="1"/>
      </left>
      <right/>
      <top/>
      <bottom style="thin">
        <color auto="1"/>
      </bottom>
      <diagonal/>
    </border>
    <border>
      <left/>
      <right style="dashed">
        <color auto="1"/>
      </right>
      <top/>
      <bottom style="thin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/>
      <right/>
      <top style="medium">
        <color rgb="FF3271D2"/>
      </top>
      <bottom style="thin">
        <color rgb="FF3271D2"/>
      </bottom>
      <diagonal/>
    </border>
    <border>
      <left/>
      <right/>
      <top style="medium">
        <color rgb="FF3271D2"/>
      </top>
      <bottom/>
      <diagonal/>
    </border>
    <border>
      <left/>
      <right style="thin">
        <color rgb="FF3271D2"/>
      </right>
      <top style="medium">
        <color rgb="FF3271D2"/>
      </top>
      <bottom style="thin">
        <color rgb="FF3271D2"/>
      </bottom>
      <diagonal/>
    </border>
    <border>
      <left style="thin">
        <color rgb="FF3271D2"/>
      </left>
      <right style="thin">
        <color rgb="FF3271D2"/>
      </right>
      <top style="medium">
        <color rgb="FF3271D2"/>
      </top>
      <bottom style="thin">
        <color rgb="FF3271D2"/>
      </bottom>
      <diagonal/>
    </border>
    <border>
      <left style="thin">
        <color rgb="FF3271D2"/>
      </left>
      <right style="thin">
        <color rgb="FF3271D2"/>
      </right>
      <top/>
      <bottom/>
      <diagonal/>
    </border>
    <border>
      <left style="thin">
        <color rgb="FF3271D2"/>
      </left>
      <right style="thin">
        <color rgb="FF3271D2"/>
      </right>
      <top/>
      <bottom style="thin">
        <color rgb="FF3271D2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610">
    <xf numFmtId="0" fontId="0" fillId="0" borderId="0" xfId="0"/>
    <xf numFmtId="0" fontId="0" fillId="0" borderId="0" xfId="0" applyBorder="1"/>
    <xf numFmtId="0" fontId="0" fillId="2" borderId="0" xfId="0" applyFill="1" applyBorder="1"/>
    <xf numFmtId="0" fontId="3" fillId="2" borderId="0" xfId="0" applyFont="1" applyFill="1" applyBorder="1"/>
    <xf numFmtId="0" fontId="0" fillId="2" borderId="0" xfId="0" applyFill="1"/>
    <xf numFmtId="0" fontId="5" fillId="2" borderId="0" xfId="0" applyFont="1" applyFill="1" applyAlignment="1">
      <alignment vertical="center"/>
    </xf>
    <xf numFmtId="0" fontId="0" fillId="3" borderId="0" xfId="0" applyFill="1"/>
    <xf numFmtId="0" fontId="0" fillId="0" borderId="0" xfId="0" applyFill="1"/>
    <xf numFmtId="0" fontId="1" fillId="0" borderId="0" xfId="0" applyFont="1" applyFill="1"/>
    <xf numFmtId="0" fontId="3" fillId="0" borderId="0" xfId="0" applyFont="1" applyFill="1"/>
    <xf numFmtId="0" fontId="1" fillId="3" borderId="0" xfId="0" applyFont="1" applyFill="1" applyAlignment="1">
      <alignment vertical="center"/>
    </xf>
    <xf numFmtId="0" fontId="0" fillId="3" borderId="0" xfId="0" applyFill="1" applyBorder="1"/>
    <xf numFmtId="0" fontId="3" fillId="3" borderId="1" xfId="0" applyFont="1" applyFill="1" applyBorder="1"/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0" xfId="0" applyFont="1" applyFill="1" applyBorder="1"/>
    <xf numFmtId="0" fontId="3" fillId="3" borderId="5" xfId="0" applyFont="1" applyFill="1" applyBorder="1"/>
    <xf numFmtId="0" fontId="1" fillId="3" borderId="4" xfId="0" applyFont="1" applyFill="1" applyBorder="1"/>
    <xf numFmtId="0" fontId="2" fillId="0" borderId="0" xfId="0" applyFont="1"/>
    <xf numFmtId="0" fontId="0" fillId="0" borderId="0" xfId="0" applyFont="1"/>
    <xf numFmtId="0" fontId="0" fillId="0" borderId="9" xfId="0" applyBorder="1"/>
    <xf numFmtId="0" fontId="9" fillId="2" borderId="0" xfId="0" applyFont="1" applyFill="1" applyBorder="1"/>
    <xf numFmtId="0" fontId="10" fillId="2" borderId="0" xfId="0" applyFont="1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8" xfId="0" applyFill="1" applyBorder="1"/>
    <xf numFmtId="0" fontId="0" fillId="2" borderId="6" xfId="0" applyFill="1" applyBorder="1"/>
    <xf numFmtId="0" fontId="0" fillId="2" borderId="7" xfId="0" applyFill="1" applyBorder="1"/>
    <xf numFmtId="0" fontId="3" fillId="2" borderId="7" xfId="0" applyFont="1" applyFill="1" applyBorder="1"/>
    <xf numFmtId="0" fontId="0" fillId="2" borderId="9" xfId="0" applyFont="1" applyFill="1" applyBorder="1"/>
    <xf numFmtId="0" fontId="0" fillId="2" borderId="0" xfId="0" applyFont="1" applyFill="1" applyBorder="1"/>
    <xf numFmtId="0" fontId="8" fillId="3" borderId="4" xfId="0" applyFont="1" applyFill="1" applyBorder="1" applyAlignment="1">
      <alignment horizontal="left" indent="1"/>
    </xf>
    <xf numFmtId="0" fontId="7" fillId="3" borderId="4" xfId="0" applyFont="1" applyFill="1" applyBorder="1" applyAlignment="1">
      <alignment horizontal="left" indent="1"/>
    </xf>
    <xf numFmtId="0" fontId="8" fillId="3" borderId="0" xfId="0" applyFont="1" applyFill="1" applyBorder="1" applyAlignment="1">
      <alignment horizontal="left" indent="6"/>
    </xf>
    <xf numFmtId="0" fontId="14" fillId="2" borderId="9" xfId="0" applyFont="1" applyFill="1" applyBorder="1"/>
    <xf numFmtId="0" fontId="13" fillId="2" borderId="9" xfId="0" applyFont="1" applyFill="1" applyBorder="1"/>
    <xf numFmtId="0" fontId="13" fillId="2" borderId="0" xfId="0" applyFont="1" applyFill="1" applyBorder="1"/>
    <xf numFmtId="0" fontId="15" fillId="0" borderId="0" xfId="0" applyFont="1"/>
    <xf numFmtId="165" fontId="2" fillId="0" borderId="0" xfId="0" applyNumberFormat="1" applyFont="1" applyBorder="1"/>
    <xf numFmtId="165" fontId="2" fillId="0" borderId="13" xfId="0" applyNumberFormat="1" applyFont="1" applyBorder="1"/>
    <xf numFmtId="166" fontId="2" fillId="0" borderId="14" xfId="0" applyNumberFormat="1" applyFont="1" applyBorder="1"/>
    <xf numFmtId="164" fontId="2" fillId="0" borderId="15" xfId="0" applyNumberFormat="1" applyFont="1" applyBorder="1"/>
    <xf numFmtId="164" fontId="2" fillId="0" borderId="16" xfId="0" applyNumberFormat="1" applyFont="1" applyBorder="1"/>
    <xf numFmtId="164" fontId="2" fillId="0" borderId="17" xfId="0" applyNumberFormat="1" applyFont="1" applyBorder="1"/>
    <xf numFmtId="166" fontId="2" fillId="0" borderId="19" xfId="0" applyNumberFormat="1" applyFont="1" applyBorder="1"/>
    <xf numFmtId="164" fontId="2" fillId="0" borderId="20" xfId="0" applyNumberFormat="1" applyFont="1" applyBorder="1"/>
    <xf numFmtId="165" fontId="2" fillId="2" borderId="10" xfId="0" applyNumberFormat="1" applyFont="1" applyFill="1" applyBorder="1"/>
    <xf numFmtId="165" fontId="2" fillId="2" borderId="11" xfId="0" applyNumberFormat="1" applyFont="1" applyFill="1" applyBorder="1"/>
    <xf numFmtId="165" fontId="2" fillId="2" borderId="18" xfId="0" applyNumberFormat="1" applyFont="1" applyFill="1" applyBorder="1"/>
    <xf numFmtId="167" fontId="2" fillId="2" borderId="12" xfId="0" applyNumberFormat="1" applyFont="1" applyFill="1" applyBorder="1"/>
    <xf numFmtId="0" fontId="0" fillId="0" borderId="0" xfId="0" applyAlignment="1">
      <alignment horizontal="left" indent="1"/>
    </xf>
    <xf numFmtId="0" fontId="2" fillId="0" borderId="0" xfId="0" applyFont="1" applyAlignment="1">
      <alignment horizontal="left" indent="1"/>
    </xf>
    <xf numFmtId="0" fontId="0" fillId="0" borderId="0" xfId="0" applyFont="1" applyAlignment="1">
      <alignment horizontal="left" indent="1"/>
    </xf>
    <xf numFmtId="169" fontId="0" fillId="0" borderId="0" xfId="0" applyNumberFormat="1"/>
    <xf numFmtId="168" fontId="0" fillId="0" borderId="0" xfId="0" applyNumberFormat="1"/>
    <xf numFmtId="0" fontId="17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6" fillId="0" borderId="0" xfId="0" applyFont="1"/>
    <xf numFmtId="0" fontId="0" fillId="0" borderId="0" xfId="0" applyBorder="1" applyAlignment="1">
      <alignment horizontal="centerContinuous"/>
    </xf>
    <xf numFmtId="0" fontId="0" fillId="4" borderId="0" xfId="0" applyFill="1" applyBorder="1"/>
    <xf numFmtId="169" fontId="0" fillId="0" borderId="0" xfId="0" applyNumberFormat="1" applyBorder="1"/>
    <xf numFmtId="171" fontId="0" fillId="0" borderId="0" xfId="0" applyNumberFormat="1"/>
    <xf numFmtId="0" fontId="0" fillId="0" borderId="27" xfId="0" applyBorder="1"/>
    <xf numFmtId="176" fontId="0" fillId="0" borderId="0" xfId="0" applyNumberFormat="1" applyAlignment="1">
      <alignment horizontal="right"/>
    </xf>
    <xf numFmtId="0" fontId="20" fillId="3" borderId="4" xfId="0" applyFont="1" applyFill="1" applyBorder="1" applyAlignment="1">
      <alignment horizontal="left" indent="1"/>
    </xf>
    <xf numFmtId="0" fontId="21" fillId="3" borderId="4" xfId="0" applyFont="1" applyFill="1" applyBorder="1" applyAlignment="1">
      <alignment horizontal="left" indent="1"/>
    </xf>
    <xf numFmtId="0" fontId="5" fillId="2" borderId="0" xfId="0" applyFont="1" applyFill="1" applyBorder="1"/>
    <xf numFmtId="0" fontId="22" fillId="2" borderId="0" xfId="0" applyFont="1" applyFill="1" applyBorder="1"/>
    <xf numFmtId="0" fontId="14" fillId="2" borderId="0" xfId="0" applyFont="1" applyFill="1" applyBorder="1"/>
    <xf numFmtId="0" fontId="1" fillId="3" borderId="0" xfId="0" applyFont="1" applyFill="1" applyBorder="1"/>
    <xf numFmtId="0" fontId="1" fillId="3" borderId="0" xfId="0" applyFont="1" applyFill="1" applyBorder="1" applyAlignment="1">
      <alignment horizontal="left" indent="1"/>
    </xf>
    <xf numFmtId="0" fontId="3" fillId="3" borderId="0" xfId="0" applyFont="1" applyFill="1" applyBorder="1" applyAlignment="1">
      <alignment horizontal="left" indent="5"/>
    </xf>
    <xf numFmtId="0" fontId="1" fillId="3" borderId="0" xfId="0" applyFont="1" applyFill="1" applyBorder="1" applyAlignment="1">
      <alignment horizontal="left" indent="5"/>
    </xf>
    <xf numFmtId="0" fontId="10" fillId="2" borderId="0" xfId="0" applyFont="1" applyFill="1" applyBorder="1" applyAlignment="1">
      <alignment horizontal="left"/>
    </xf>
    <xf numFmtId="168" fontId="9" fillId="0" borderId="0" xfId="0" applyNumberFormat="1" applyFont="1"/>
    <xf numFmtId="169" fontId="2" fillId="0" borderId="46" xfId="0" applyNumberFormat="1" applyFont="1" applyBorder="1"/>
    <xf numFmtId="49" fontId="0" fillId="0" borderId="0" xfId="0" applyNumberFormat="1" applyBorder="1" applyAlignment="1">
      <alignment horizontal="centerContinuous"/>
    </xf>
    <xf numFmtId="49" fontId="2" fillId="0" borderId="0" xfId="0" applyNumberFormat="1" applyFont="1" applyBorder="1" applyAlignment="1">
      <alignment horizontal="centerContinuous"/>
    </xf>
    <xf numFmtId="49" fontId="2" fillId="0" borderId="0" xfId="0" applyNumberFormat="1" applyFont="1" applyBorder="1" applyAlignment="1">
      <alignment horizontal="center"/>
    </xf>
    <xf numFmtId="49" fontId="0" fillId="0" borderId="0" xfId="0" applyNumberFormat="1" applyBorder="1" applyAlignment="1">
      <alignment horizontal="center"/>
    </xf>
    <xf numFmtId="179" fontId="0" fillId="0" borderId="0" xfId="0" applyNumberFormat="1"/>
    <xf numFmtId="179" fontId="0" fillId="0" borderId="0" xfId="0" applyNumberFormat="1" applyAlignment="1">
      <alignment horizontal="centerContinuous"/>
    </xf>
    <xf numFmtId="169" fontId="0" fillId="0" borderId="0" xfId="0" applyNumberFormat="1" applyAlignment="1">
      <alignment horizontal="centerContinuous"/>
    </xf>
    <xf numFmtId="0" fontId="0" fillId="0" borderId="48" xfId="0" applyBorder="1"/>
    <xf numFmtId="0" fontId="0" fillId="0" borderId="38" xfId="0" applyBorder="1"/>
    <xf numFmtId="0" fontId="0" fillId="0" borderId="50" xfId="0" applyBorder="1"/>
    <xf numFmtId="179" fontId="0" fillId="0" borderId="0" xfId="0" applyNumberFormat="1" applyBorder="1"/>
    <xf numFmtId="2" fontId="0" fillId="0" borderId="39" xfId="0" applyNumberFormat="1" applyBorder="1"/>
    <xf numFmtId="2" fontId="0" fillId="0" borderId="51" xfId="0" applyNumberFormat="1" applyBorder="1"/>
    <xf numFmtId="166" fontId="2" fillId="0" borderId="16" xfId="0" applyNumberFormat="1" applyFont="1" applyFill="1" applyBorder="1"/>
    <xf numFmtId="167" fontId="2" fillId="0" borderId="16" xfId="0" applyNumberFormat="1" applyFont="1" applyFill="1" applyBorder="1" applyAlignment="1">
      <alignment horizontal="left" indent="1"/>
    </xf>
    <xf numFmtId="0" fontId="0" fillId="0" borderId="22" xfId="0" applyBorder="1"/>
    <xf numFmtId="172" fontId="0" fillId="0" borderId="0" xfId="0" applyNumberFormat="1"/>
    <xf numFmtId="180" fontId="0" fillId="0" borderId="0" xfId="0" applyNumberFormat="1" applyBorder="1"/>
    <xf numFmtId="180" fontId="0" fillId="0" borderId="0" xfId="0" applyNumberFormat="1"/>
    <xf numFmtId="0" fontId="0" fillId="0" borderId="51" xfId="0" applyBorder="1"/>
    <xf numFmtId="0" fontId="0" fillId="0" borderId="48" xfId="0" applyBorder="1" applyAlignment="1">
      <alignment horizontal="centerContinuous"/>
    </xf>
    <xf numFmtId="179" fontId="0" fillId="0" borderId="48" xfId="0" applyNumberFormat="1" applyBorder="1" applyAlignment="1">
      <alignment horizontal="centerContinuous"/>
    </xf>
    <xf numFmtId="0" fontId="0" fillId="0" borderId="49" xfId="0" applyBorder="1" applyAlignment="1">
      <alignment horizontal="centerContinuous"/>
    </xf>
    <xf numFmtId="0" fontId="0" fillId="0" borderId="9" xfId="0" applyBorder="1" applyAlignment="1">
      <alignment horizontal="centerContinuous"/>
    </xf>
    <xf numFmtId="0" fontId="0" fillId="0" borderId="51" xfId="0" applyBorder="1" applyAlignment="1">
      <alignment horizontal="centerContinuous"/>
    </xf>
    <xf numFmtId="173" fontId="0" fillId="0" borderId="0" xfId="0" applyNumberFormat="1" applyAlignment="1">
      <alignment horizontal="centerContinuous"/>
    </xf>
    <xf numFmtId="2" fontId="0" fillId="0" borderId="38" xfId="0" applyNumberFormat="1" applyBorder="1"/>
    <xf numFmtId="181" fontId="0" fillId="0" borderId="0" xfId="0" applyNumberFormat="1" applyAlignment="1">
      <alignment horizontal="centerContinuous"/>
    </xf>
    <xf numFmtId="0" fontId="0" fillId="0" borderId="38" xfId="0" applyBorder="1" applyAlignment="1">
      <alignment horizontal="centerContinuous"/>
    </xf>
    <xf numFmtId="181" fontId="0" fillId="0" borderId="38" xfId="0" applyNumberFormat="1" applyBorder="1" applyAlignment="1">
      <alignment horizontal="centerContinuous"/>
    </xf>
    <xf numFmtId="175" fontId="0" fillId="0" borderId="0" xfId="0" applyNumberFormat="1" applyAlignment="1">
      <alignment horizontal="centerContinuous"/>
    </xf>
    <xf numFmtId="172" fontId="0" fillId="0" borderId="38" xfId="0" applyNumberFormat="1" applyBorder="1" applyAlignment="1">
      <alignment horizontal="centerContinuous"/>
    </xf>
    <xf numFmtId="175" fontId="0" fillId="0" borderId="38" xfId="0" applyNumberFormat="1" applyFont="1" applyBorder="1" applyAlignment="1">
      <alignment horizontal="centerContinuous"/>
    </xf>
    <xf numFmtId="182" fontId="0" fillId="0" borderId="38" xfId="0" applyNumberFormat="1" applyBorder="1" applyAlignment="1">
      <alignment horizontal="center" vertical="top"/>
    </xf>
    <xf numFmtId="169" fontId="0" fillId="0" borderId="38" xfId="0" applyNumberFormat="1" applyBorder="1" applyAlignment="1">
      <alignment horizontal="center" vertical="top"/>
    </xf>
    <xf numFmtId="17" fontId="0" fillId="0" borderId="0" xfId="0" applyNumberFormat="1" applyAlignment="1">
      <alignment horizontal="center"/>
    </xf>
    <xf numFmtId="169" fontId="0" fillId="0" borderId="0" xfId="0" applyNumberFormat="1" applyAlignment="1">
      <alignment horizontal="center"/>
    </xf>
    <xf numFmtId="0" fontId="0" fillId="0" borderId="39" xfId="0" applyBorder="1"/>
    <xf numFmtId="180" fontId="0" fillId="0" borderId="38" xfId="0" applyNumberFormat="1" applyBorder="1" applyAlignment="1">
      <alignment horizontal="centerContinuous"/>
    </xf>
    <xf numFmtId="0" fontId="0" fillId="0" borderId="39" xfId="0" applyBorder="1" applyAlignment="1">
      <alignment horizontal="centerContinuous"/>
    </xf>
    <xf numFmtId="181" fontId="0" fillId="0" borderId="39" xfId="0" applyNumberFormat="1" applyBorder="1" applyAlignment="1">
      <alignment horizontal="centerContinuous"/>
    </xf>
    <xf numFmtId="179" fontId="0" fillId="0" borderId="39" xfId="0" applyNumberFormat="1" applyBorder="1" applyAlignment="1">
      <alignment horizontal="centerContinuous"/>
    </xf>
    <xf numFmtId="0" fontId="0" fillId="0" borderId="0" xfId="0" applyNumberFormat="1" applyAlignment="1">
      <alignment horizontal="centerContinuous"/>
    </xf>
    <xf numFmtId="0" fontId="0" fillId="4" borderId="47" xfId="0" applyFill="1" applyBorder="1"/>
    <xf numFmtId="0" fontId="0" fillId="4" borderId="48" xfId="0" applyFill="1" applyBorder="1"/>
    <xf numFmtId="2" fontId="0" fillId="4" borderId="49" xfId="0" applyNumberFormat="1" applyFill="1" applyBorder="1"/>
    <xf numFmtId="0" fontId="2" fillId="4" borderId="38" xfId="0" applyFont="1" applyFill="1" applyBorder="1" applyAlignment="1">
      <alignment horizontal="left" indent="1"/>
    </xf>
    <xf numFmtId="2" fontId="0" fillId="4" borderId="39" xfId="0" applyNumberFormat="1" applyFill="1" applyBorder="1"/>
    <xf numFmtId="0" fontId="2" fillId="4" borderId="47" xfId="0" applyFont="1" applyFill="1" applyBorder="1" applyAlignment="1">
      <alignment horizontal="centerContinuous"/>
    </xf>
    <xf numFmtId="0" fontId="0" fillId="4" borderId="48" xfId="0" applyFill="1" applyBorder="1" applyAlignment="1">
      <alignment horizontal="centerContinuous"/>
    </xf>
    <xf numFmtId="0" fontId="0" fillId="0" borderId="38" xfId="0" applyFill="1" applyBorder="1"/>
    <xf numFmtId="0" fontId="0" fillId="0" borderId="0" xfId="0" applyFill="1" applyBorder="1"/>
    <xf numFmtId="0" fontId="0" fillId="0" borderId="39" xfId="0" applyFill="1" applyBorder="1"/>
    <xf numFmtId="0" fontId="0" fillId="2" borderId="47" xfId="0" applyFill="1" applyBorder="1"/>
    <xf numFmtId="0" fontId="0" fillId="2" borderId="48" xfId="0" applyFill="1" applyBorder="1"/>
    <xf numFmtId="0" fontId="0" fillId="2" borderId="49" xfId="0" applyFill="1" applyBorder="1"/>
    <xf numFmtId="0" fontId="2" fillId="2" borderId="38" xfId="0" applyFont="1" applyFill="1" applyBorder="1" applyAlignment="1">
      <alignment horizontal="centerContinuous"/>
    </xf>
    <xf numFmtId="0" fontId="0" fillId="2" borderId="0" xfId="0" applyFill="1" applyBorder="1" applyAlignment="1">
      <alignment horizontal="centerContinuous"/>
    </xf>
    <xf numFmtId="0" fontId="0" fillId="2" borderId="39" xfId="0" applyFill="1" applyBorder="1" applyAlignment="1">
      <alignment horizontal="centerContinuous"/>
    </xf>
    <xf numFmtId="169" fontId="2" fillId="0" borderId="0" xfId="0" applyNumberFormat="1" applyFont="1"/>
    <xf numFmtId="183" fontId="2" fillId="0" borderId="9" xfId="0" applyNumberFormat="1" applyFont="1" applyBorder="1"/>
    <xf numFmtId="183" fontId="0" fillId="0" borderId="9" xfId="0" applyNumberFormat="1" applyBorder="1"/>
    <xf numFmtId="0" fontId="3" fillId="3" borderId="0" xfId="0" applyFont="1" applyFill="1" applyBorder="1" applyAlignment="1">
      <alignment horizontal="left" indent="4"/>
    </xf>
    <xf numFmtId="0" fontId="1" fillId="3" borderId="0" xfId="0" applyFont="1" applyFill="1" applyBorder="1" applyAlignment="1">
      <alignment horizontal="left"/>
    </xf>
    <xf numFmtId="0" fontId="3" fillId="3" borderId="0" xfId="0" applyFont="1" applyFill="1" applyBorder="1" applyAlignment="1">
      <alignment horizontal="left"/>
    </xf>
    <xf numFmtId="0" fontId="0" fillId="2" borderId="9" xfId="0" applyFill="1" applyBorder="1"/>
    <xf numFmtId="0" fontId="20" fillId="3" borderId="4" xfId="0" applyFont="1" applyFill="1" applyBorder="1" applyAlignment="1">
      <alignment horizontal="left"/>
    </xf>
    <xf numFmtId="0" fontId="21" fillId="3" borderId="4" xfId="0" applyFont="1" applyFill="1" applyBorder="1" applyAlignment="1">
      <alignment horizontal="left"/>
    </xf>
    <xf numFmtId="49" fontId="3" fillId="3" borderId="0" xfId="0" applyNumberFormat="1" applyFont="1" applyFill="1" applyBorder="1" applyAlignment="1">
      <alignment horizontal="left" indent="4"/>
    </xf>
    <xf numFmtId="0" fontId="12" fillId="3" borderId="0" xfId="1" applyFont="1" applyFill="1" applyBorder="1" applyAlignment="1">
      <alignment horizontal="left" indent="4"/>
    </xf>
    <xf numFmtId="184" fontId="13" fillId="2" borderId="0" xfId="0" applyNumberFormat="1" applyFont="1" applyFill="1" applyBorder="1"/>
    <xf numFmtId="0" fontId="23" fillId="2" borderId="0" xfId="1" applyFont="1" applyFill="1" applyBorder="1" applyAlignment="1">
      <alignment horizontal="left"/>
    </xf>
    <xf numFmtId="0" fontId="0" fillId="0" borderId="0" xfId="0" applyProtection="1">
      <protection locked="0"/>
    </xf>
    <xf numFmtId="0" fontId="1" fillId="3" borderId="0" xfId="0" applyFont="1" applyFill="1" applyAlignment="1" applyProtection="1">
      <alignment vertical="center"/>
      <protection locked="0"/>
    </xf>
    <xf numFmtId="0" fontId="0" fillId="3" borderId="0" xfId="0" applyFill="1" applyProtection="1">
      <protection locked="0"/>
    </xf>
    <xf numFmtId="0" fontId="5" fillId="2" borderId="0" xfId="0" applyFont="1" applyFill="1" applyAlignment="1" applyProtection="1">
      <alignment vertical="center"/>
      <protection locked="0"/>
    </xf>
    <xf numFmtId="0" fontId="0" fillId="2" borderId="0" xfId="0" applyFill="1" applyProtection="1">
      <protection locked="0"/>
    </xf>
    <xf numFmtId="0" fontId="4" fillId="0" borderId="0" xfId="0" applyFont="1" applyProtection="1">
      <protection locked="0"/>
    </xf>
    <xf numFmtId="0" fontId="15" fillId="0" borderId="0" xfId="0" applyFont="1" applyProtection="1">
      <protection locked="0"/>
    </xf>
    <xf numFmtId="165" fontId="2" fillId="2" borderId="10" xfId="0" applyNumberFormat="1" applyFont="1" applyFill="1" applyBorder="1" applyProtection="1">
      <protection locked="0"/>
    </xf>
    <xf numFmtId="165" fontId="2" fillId="2" borderId="11" xfId="0" applyNumberFormat="1" applyFont="1" applyFill="1" applyBorder="1" applyProtection="1">
      <protection locked="0"/>
    </xf>
    <xf numFmtId="165" fontId="2" fillId="2" borderId="18" xfId="0" applyNumberFormat="1" applyFont="1" applyFill="1" applyBorder="1" applyProtection="1">
      <protection locked="0"/>
    </xf>
    <xf numFmtId="167" fontId="2" fillId="2" borderId="12" xfId="0" applyNumberFormat="1" applyFont="1" applyFill="1" applyBorder="1" applyProtection="1">
      <protection locked="0"/>
    </xf>
    <xf numFmtId="0" fontId="17" fillId="0" borderId="0" xfId="0" applyFont="1" applyAlignment="1" applyProtection="1">
      <alignment horizontal="left"/>
      <protection locked="0"/>
    </xf>
    <xf numFmtId="165" fontId="2" fillId="0" borderId="13" xfId="0" applyNumberFormat="1" applyFont="1" applyBorder="1" applyProtection="1">
      <protection locked="0"/>
    </xf>
    <xf numFmtId="165" fontId="2" fillId="0" borderId="0" xfId="0" applyNumberFormat="1" applyFont="1" applyBorder="1" applyProtection="1">
      <protection locked="0"/>
    </xf>
    <xf numFmtId="166" fontId="2" fillId="0" borderId="19" xfId="0" applyNumberFormat="1" applyFont="1" applyBorder="1" applyProtection="1">
      <protection locked="0"/>
    </xf>
    <xf numFmtId="166" fontId="2" fillId="0" borderId="14" xfId="0" applyNumberFormat="1" applyFont="1" applyBorder="1" applyProtection="1">
      <protection locked="0"/>
    </xf>
    <xf numFmtId="0" fontId="0" fillId="0" borderId="0" xfId="0" applyAlignment="1" applyProtection="1">
      <alignment horizontal="left" indent="1"/>
      <protection locked="0"/>
    </xf>
    <xf numFmtId="164" fontId="2" fillId="0" borderId="15" xfId="0" applyNumberFormat="1" applyFont="1" applyBorder="1" applyProtection="1">
      <protection locked="0"/>
    </xf>
    <xf numFmtId="164" fontId="2" fillId="0" borderId="16" xfId="0" applyNumberFormat="1" applyFont="1" applyBorder="1" applyProtection="1">
      <protection locked="0"/>
    </xf>
    <xf numFmtId="164" fontId="2" fillId="0" borderId="20" xfId="0" applyNumberFormat="1" applyFont="1" applyBorder="1" applyProtection="1">
      <protection locked="0"/>
    </xf>
    <xf numFmtId="164" fontId="2" fillId="0" borderId="17" xfId="0" applyNumberFormat="1" applyFont="1" applyBorder="1" applyProtection="1">
      <protection locked="0"/>
    </xf>
    <xf numFmtId="0" fontId="17" fillId="0" borderId="0" xfId="0" applyFont="1" applyFill="1" applyBorder="1" applyAlignment="1" applyProtection="1">
      <alignment horizontal="left"/>
      <protection locked="0"/>
    </xf>
    <xf numFmtId="0" fontId="6" fillId="0" borderId="0" xfId="0" applyFont="1" applyFill="1" applyBorder="1" applyAlignment="1" applyProtection="1">
      <alignment horizontal="centerContinuous"/>
      <protection locked="0"/>
    </xf>
    <xf numFmtId="0" fontId="2" fillId="0" borderId="0" xfId="0" applyFont="1" applyProtection="1">
      <protection locked="0"/>
    </xf>
    <xf numFmtId="0" fontId="2" fillId="0" borderId="0" xfId="0" applyFont="1" applyAlignment="1" applyProtection="1">
      <alignment horizontal="left" indent="1"/>
      <protection locked="0"/>
    </xf>
    <xf numFmtId="0" fontId="0" fillId="0" borderId="0" xfId="0" applyFont="1" applyAlignment="1" applyProtection="1">
      <alignment horizontal="left" indent="1"/>
      <protection locked="0"/>
    </xf>
    <xf numFmtId="168" fontId="2" fillId="0" borderId="29" xfId="0" applyNumberFormat="1" applyFont="1" applyBorder="1" applyProtection="1">
      <protection locked="0"/>
    </xf>
    <xf numFmtId="168" fontId="2" fillId="0" borderId="30" xfId="0" applyNumberFormat="1" applyFont="1" applyBorder="1" applyProtection="1">
      <protection locked="0"/>
    </xf>
    <xf numFmtId="168" fontId="2" fillId="0" borderId="31" xfId="0" applyNumberFormat="1" applyFont="1" applyBorder="1" applyProtection="1">
      <protection locked="0"/>
    </xf>
    <xf numFmtId="168" fontId="0" fillId="0" borderId="0" xfId="0" applyNumberFormat="1" applyProtection="1">
      <protection locked="0"/>
    </xf>
    <xf numFmtId="168" fontId="0" fillId="0" borderId="0" xfId="0" applyNumberFormat="1" applyFont="1" applyProtection="1">
      <protection locked="0"/>
    </xf>
    <xf numFmtId="0" fontId="9" fillId="0" borderId="0" xfId="0" applyFont="1" applyAlignment="1" applyProtection="1">
      <alignment horizontal="left" indent="2"/>
      <protection locked="0"/>
    </xf>
    <xf numFmtId="168" fontId="9" fillId="0" borderId="21" xfId="0" applyNumberFormat="1" applyFont="1" applyBorder="1" applyProtection="1">
      <protection locked="0"/>
    </xf>
    <xf numFmtId="168" fontId="9" fillId="0" borderId="22" xfId="0" applyNumberFormat="1" applyFont="1" applyBorder="1" applyProtection="1">
      <protection locked="0"/>
    </xf>
    <xf numFmtId="168" fontId="9" fillId="0" borderId="23" xfId="0" applyNumberFormat="1" applyFont="1" applyBorder="1" applyProtection="1">
      <protection locked="0"/>
    </xf>
    <xf numFmtId="168" fontId="9" fillId="0" borderId="24" xfId="0" applyNumberFormat="1" applyFont="1" applyBorder="1" applyProtection="1">
      <protection locked="0"/>
    </xf>
    <xf numFmtId="168" fontId="9" fillId="0" borderId="0" xfId="0" applyNumberFormat="1" applyFont="1" applyBorder="1" applyProtection="1">
      <protection locked="0"/>
    </xf>
    <xf numFmtId="168" fontId="9" fillId="0" borderId="25" xfId="0" applyNumberFormat="1" applyFont="1" applyBorder="1" applyProtection="1">
      <protection locked="0"/>
    </xf>
    <xf numFmtId="168" fontId="9" fillId="0" borderId="26" xfId="0" applyNumberFormat="1" applyFont="1" applyBorder="1" applyProtection="1">
      <protection locked="0"/>
    </xf>
    <xf numFmtId="168" fontId="9" fillId="0" borderId="27" xfId="0" applyNumberFormat="1" applyFont="1" applyBorder="1" applyProtection="1">
      <protection locked="0"/>
    </xf>
    <xf numFmtId="168" fontId="9" fillId="0" borderId="28" xfId="0" applyNumberFormat="1" applyFont="1" applyBorder="1" applyProtection="1">
      <protection locked="0"/>
    </xf>
    <xf numFmtId="0" fontId="0" fillId="0" borderId="0" xfId="0" applyFont="1" applyAlignment="1" applyProtection="1">
      <alignment horizontal="left" indent="2"/>
      <protection locked="0"/>
    </xf>
    <xf numFmtId="0" fontId="0" fillId="0" borderId="0" xfId="0" applyAlignment="1" applyProtection="1">
      <alignment horizontal="left" indent="2"/>
      <protection locked="0"/>
    </xf>
    <xf numFmtId="0" fontId="2" fillId="0" borderId="0" xfId="0" applyFont="1" applyAlignment="1" applyProtection="1">
      <alignment horizontal="left"/>
      <protection locked="0"/>
    </xf>
    <xf numFmtId="171" fontId="2" fillId="0" borderId="29" xfId="0" applyNumberFormat="1" applyFont="1" applyBorder="1" applyProtection="1">
      <protection locked="0"/>
    </xf>
    <xf numFmtId="171" fontId="2" fillId="0" borderId="30" xfId="0" applyNumberFormat="1" applyFont="1" applyBorder="1" applyProtection="1">
      <protection locked="0"/>
    </xf>
    <xf numFmtId="171" fontId="2" fillId="0" borderId="31" xfId="0" applyNumberFormat="1" applyFont="1" applyBorder="1" applyProtection="1">
      <protection locked="0"/>
    </xf>
    <xf numFmtId="169" fontId="0" fillId="0" borderId="0" xfId="0" applyNumberFormat="1" applyProtection="1">
      <protection locked="0"/>
    </xf>
    <xf numFmtId="169" fontId="0" fillId="0" borderId="0" xfId="0" applyNumberFormat="1" applyFont="1" applyProtection="1">
      <protection locked="0"/>
    </xf>
    <xf numFmtId="171" fontId="9" fillId="0" borderId="21" xfId="0" applyNumberFormat="1" applyFont="1" applyBorder="1" applyProtection="1">
      <protection locked="0"/>
    </xf>
    <xf numFmtId="171" fontId="9" fillId="0" borderId="22" xfId="0" applyNumberFormat="1" applyFont="1" applyBorder="1" applyProtection="1">
      <protection locked="0"/>
    </xf>
    <xf numFmtId="171" fontId="9" fillId="0" borderId="23" xfId="0" applyNumberFormat="1" applyFont="1" applyBorder="1" applyProtection="1">
      <protection locked="0"/>
    </xf>
    <xf numFmtId="171" fontId="9" fillId="0" borderId="24" xfId="0" applyNumberFormat="1" applyFont="1" applyBorder="1" applyProtection="1">
      <protection locked="0"/>
    </xf>
    <xf numFmtId="171" fontId="9" fillId="0" borderId="0" xfId="0" applyNumberFormat="1" applyFont="1" applyBorder="1" applyProtection="1">
      <protection locked="0"/>
    </xf>
    <xf numFmtId="171" fontId="9" fillId="0" borderId="25" xfId="0" applyNumberFormat="1" applyFont="1" applyBorder="1" applyProtection="1">
      <protection locked="0"/>
    </xf>
    <xf numFmtId="169" fontId="9" fillId="0" borderId="26" xfId="0" applyNumberFormat="1" applyFont="1" applyBorder="1" applyProtection="1">
      <protection locked="0"/>
    </xf>
    <xf numFmtId="169" fontId="9" fillId="0" borderId="27" xfId="0" applyNumberFormat="1" applyFont="1" applyBorder="1" applyProtection="1">
      <protection locked="0"/>
    </xf>
    <xf numFmtId="169" fontId="9" fillId="0" borderId="28" xfId="0" applyNumberFormat="1" applyFont="1" applyBorder="1" applyProtection="1">
      <protection locked="0"/>
    </xf>
    <xf numFmtId="169" fontId="9" fillId="0" borderId="21" xfId="0" applyNumberFormat="1" applyFont="1" applyBorder="1" applyProtection="1">
      <protection locked="0"/>
    </xf>
    <xf numFmtId="169" fontId="9" fillId="0" borderId="22" xfId="0" applyNumberFormat="1" applyFont="1" applyBorder="1" applyProtection="1">
      <protection locked="0"/>
    </xf>
    <xf numFmtId="169" fontId="9" fillId="0" borderId="23" xfId="0" applyNumberFormat="1" applyFont="1" applyBorder="1" applyProtection="1">
      <protection locked="0"/>
    </xf>
    <xf numFmtId="172" fontId="9" fillId="0" borderId="0" xfId="0" applyNumberFormat="1" applyFont="1" applyBorder="1" applyProtection="1">
      <protection locked="0"/>
    </xf>
    <xf numFmtId="169" fontId="9" fillId="0" borderId="24" xfId="0" applyNumberFormat="1" applyFont="1" applyBorder="1" applyProtection="1">
      <protection locked="0"/>
    </xf>
    <xf numFmtId="169" fontId="9" fillId="0" borderId="0" xfId="0" applyNumberFormat="1" applyFont="1" applyBorder="1" applyProtection="1">
      <protection locked="0"/>
    </xf>
    <xf numFmtId="0" fontId="0" fillId="0" borderId="0" xfId="0" applyFont="1" applyFill="1" applyAlignment="1" applyProtection="1">
      <alignment horizontal="left" indent="1"/>
      <protection locked="0"/>
    </xf>
    <xf numFmtId="170" fontId="9" fillId="0" borderId="29" xfId="0" applyNumberFormat="1" applyFont="1" applyBorder="1" applyProtection="1">
      <protection locked="0"/>
    </xf>
    <xf numFmtId="170" fontId="9" fillId="0" borderId="30" xfId="0" applyNumberFormat="1" applyFont="1" applyBorder="1" applyProtection="1">
      <protection locked="0"/>
    </xf>
    <xf numFmtId="170" fontId="9" fillId="0" borderId="31" xfId="0" applyNumberFormat="1" applyFont="1" applyBorder="1" applyProtection="1">
      <protection locked="0"/>
    </xf>
    <xf numFmtId="0" fontId="9" fillId="0" borderId="0" xfId="0" applyFont="1" applyProtection="1">
      <protection locked="0"/>
    </xf>
    <xf numFmtId="169" fontId="9" fillId="0" borderId="29" xfId="0" applyNumberFormat="1" applyFont="1" applyBorder="1" applyProtection="1">
      <protection locked="0"/>
    </xf>
    <xf numFmtId="169" fontId="9" fillId="0" borderId="30" xfId="0" applyNumberFormat="1" applyFont="1" applyBorder="1" applyProtection="1">
      <protection locked="0"/>
    </xf>
    <xf numFmtId="169" fontId="9" fillId="0" borderId="31" xfId="0" applyNumberFormat="1" applyFont="1" applyBorder="1" applyProtection="1">
      <protection locked="0"/>
    </xf>
    <xf numFmtId="169" fontId="9" fillId="0" borderId="0" xfId="0" applyNumberFormat="1" applyFont="1" applyProtection="1">
      <protection locked="0"/>
    </xf>
    <xf numFmtId="0" fontId="17" fillId="0" borderId="0" xfId="0" applyFont="1" applyFill="1" applyAlignment="1" applyProtection="1">
      <alignment horizontal="left"/>
      <protection locked="0"/>
    </xf>
    <xf numFmtId="170" fontId="2" fillId="0" borderId="29" xfId="0" applyNumberFormat="1" applyFont="1" applyBorder="1" applyProtection="1">
      <protection locked="0"/>
    </xf>
    <xf numFmtId="170" fontId="2" fillId="0" borderId="30" xfId="0" applyNumberFormat="1" applyFont="1" applyBorder="1" applyProtection="1">
      <protection locked="0"/>
    </xf>
    <xf numFmtId="170" fontId="2" fillId="0" borderId="31" xfId="0" applyNumberFormat="1" applyFont="1" applyBorder="1" applyProtection="1">
      <protection locked="0"/>
    </xf>
    <xf numFmtId="170" fontId="0" fillId="0" borderId="0" xfId="0" applyNumberFormat="1" applyProtection="1">
      <protection locked="0"/>
    </xf>
    <xf numFmtId="170" fontId="0" fillId="0" borderId="0" xfId="0" applyNumberFormat="1" applyFont="1" applyProtection="1">
      <protection locked="0"/>
    </xf>
    <xf numFmtId="170" fontId="9" fillId="0" borderId="21" xfId="0" applyNumberFormat="1" applyFont="1" applyBorder="1" applyProtection="1">
      <protection locked="0"/>
    </xf>
    <xf numFmtId="170" fontId="9" fillId="0" borderId="22" xfId="0" applyNumberFormat="1" applyFont="1" applyBorder="1" applyProtection="1">
      <protection locked="0"/>
    </xf>
    <xf numFmtId="170" fontId="9" fillId="0" borderId="23" xfId="0" applyNumberFormat="1" applyFont="1" applyBorder="1" applyProtection="1">
      <protection locked="0"/>
    </xf>
    <xf numFmtId="170" fontId="9" fillId="0" borderId="24" xfId="0" applyNumberFormat="1" applyFont="1" applyBorder="1" applyProtection="1">
      <protection locked="0"/>
    </xf>
    <xf numFmtId="170" fontId="9" fillId="0" borderId="0" xfId="0" applyNumberFormat="1" applyFont="1" applyBorder="1" applyProtection="1">
      <protection locked="0"/>
    </xf>
    <xf numFmtId="170" fontId="9" fillId="0" borderId="25" xfId="0" applyNumberFormat="1" applyFont="1" applyBorder="1" applyProtection="1">
      <protection locked="0"/>
    </xf>
    <xf numFmtId="170" fontId="9" fillId="0" borderId="26" xfId="0" applyNumberFormat="1" applyFont="1" applyBorder="1" applyProtection="1">
      <protection locked="0"/>
    </xf>
    <xf numFmtId="170" fontId="9" fillId="0" borderId="27" xfId="0" applyNumberFormat="1" applyFont="1" applyBorder="1" applyProtection="1">
      <protection locked="0"/>
    </xf>
    <xf numFmtId="170" fontId="9" fillId="0" borderId="28" xfId="0" applyNumberFormat="1" applyFont="1" applyBorder="1" applyProtection="1">
      <protection locked="0"/>
    </xf>
    <xf numFmtId="0" fontId="6" fillId="0" borderId="0" xfId="0" applyFont="1" applyFill="1" applyAlignment="1" applyProtection="1">
      <alignment horizontal="centerContinuous"/>
      <protection locked="0"/>
    </xf>
    <xf numFmtId="0" fontId="0" fillId="0" borderId="0" xfId="0" applyFont="1" applyProtection="1">
      <protection locked="0"/>
    </xf>
    <xf numFmtId="168" fontId="9" fillId="0" borderId="29" xfId="0" applyNumberFormat="1" applyFont="1" applyBorder="1" applyProtection="1">
      <protection locked="0"/>
    </xf>
    <xf numFmtId="168" fontId="9" fillId="0" borderId="30" xfId="0" applyNumberFormat="1" applyFont="1" applyBorder="1" applyProtection="1">
      <protection locked="0"/>
    </xf>
    <xf numFmtId="168" fontId="9" fillId="0" borderId="31" xfId="0" applyNumberFormat="1" applyFont="1" applyBorder="1" applyProtection="1">
      <protection locked="0"/>
    </xf>
    <xf numFmtId="0" fontId="0" fillId="0" borderId="27" xfId="0" applyBorder="1" applyProtection="1">
      <protection locked="0"/>
    </xf>
    <xf numFmtId="0" fontId="0" fillId="0" borderId="0" xfId="0" applyFont="1" applyFill="1" applyBorder="1" applyAlignment="1" applyProtection="1">
      <alignment horizontal="left" indent="1"/>
      <protection locked="0"/>
    </xf>
    <xf numFmtId="0" fontId="0" fillId="0" borderId="0" xfId="0" applyBorder="1" applyProtection="1">
      <protection locked="0"/>
    </xf>
    <xf numFmtId="0" fontId="2" fillId="0" borderId="0" xfId="0" applyFont="1" applyFill="1" applyAlignment="1" applyProtection="1">
      <alignment horizontal="left"/>
      <protection locked="0"/>
    </xf>
    <xf numFmtId="170" fontId="9" fillId="0" borderId="0" xfId="0" applyNumberFormat="1" applyFont="1" applyProtection="1">
      <protection locked="0"/>
    </xf>
    <xf numFmtId="49" fontId="9" fillId="0" borderId="0" xfId="0" applyNumberFormat="1" applyFont="1" applyBorder="1" applyAlignment="1" applyProtection="1">
      <alignment horizontal="left" indent="1"/>
      <protection locked="0"/>
    </xf>
    <xf numFmtId="0" fontId="2" fillId="0" borderId="0" xfId="0" applyFont="1" applyFill="1" applyAlignment="1" applyProtection="1">
      <alignment horizontal="left" indent="1"/>
      <protection locked="0"/>
    </xf>
    <xf numFmtId="0" fontId="0" fillId="0" borderId="0" xfId="0" applyFill="1" applyProtection="1">
      <protection locked="0"/>
    </xf>
    <xf numFmtId="164" fontId="2" fillId="0" borderId="0" xfId="0" applyNumberFormat="1" applyFont="1" applyFill="1" applyBorder="1" applyProtection="1">
      <protection locked="0"/>
    </xf>
    <xf numFmtId="0" fontId="0" fillId="0" borderId="0" xfId="0" applyFill="1" applyBorder="1" applyProtection="1">
      <protection locked="0"/>
    </xf>
    <xf numFmtId="0" fontId="2" fillId="0" borderId="9" xfId="0" applyFont="1" applyBorder="1" applyAlignment="1" applyProtection="1">
      <alignment horizontal="left"/>
      <protection locked="0"/>
    </xf>
    <xf numFmtId="0" fontId="0" fillId="0" borderId="9" xfId="0" applyBorder="1" applyProtection="1">
      <protection locked="0"/>
    </xf>
    <xf numFmtId="0" fontId="0" fillId="0" borderId="0" xfId="0" applyFont="1" applyBorder="1" applyAlignment="1" applyProtection="1">
      <alignment horizontal="left" indent="1"/>
      <protection locked="0"/>
    </xf>
    <xf numFmtId="0" fontId="16" fillId="0" borderId="0" xfId="0" applyFont="1" applyAlignment="1" applyProtection="1">
      <alignment horizontal="centerContinuous"/>
      <protection locked="0"/>
    </xf>
    <xf numFmtId="0" fontId="0" fillId="0" borderId="0" xfId="0" applyBorder="1" applyAlignment="1" applyProtection="1">
      <alignment horizontal="centerContinuous"/>
      <protection locked="0"/>
    </xf>
    <xf numFmtId="0" fontId="0" fillId="0" borderId="0" xfId="0" applyAlignment="1" applyProtection="1">
      <alignment horizontal="centerContinuous"/>
      <protection locked="0"/>
    </xf>
    <xf numFmtId="0" fontId="18" fillId="0" borderId="0" xfId="0" applyFont="1" applyAlignment="1" applyProtection="1">
      <alignment horizontal="centerContinuous"/>
      <protection locked="0"/>
    </xf>
    <xf numFmtId="0" fontId="16" fillId="0" borderId="0" xfId="0" applyFont="1" applyAlignment="1" applyProtection="1">
      <alignment horizontal="centerContinuous" vertical="center"/>
      <protection locked="0"/>
    </xf>
    <xf numFmtId="168" fontId="9" fillId="0" borderId="0" xfId="0" applyNumberFormat="1" applyFont="1" applyProtection="1">
      <protection locked="0"/>
    </xf>
    <xf numFmtId="0" fontId="0" fillId="0" borderId="0" xfId="0" applyFill="1" applyBorder="1" applyProtection="1"/>
    <xf numFmtId="0" fontId="0" fillId="0" borderId="0" xfId="0" applyFill="1" applyBorder="1" applyAlignment="1" applyProtection="1">
      <alignment horizontal="left" indent="1"/>
    </xf>
    <xf numFmtId="0" fontId="0" fillId="0" borderId="0" xfId="0" applyProtection="1"/>
    <xf numFmtId="185" fontId="0" fillId="0" borderId="0" xfId="0" applyNumberFormat="1"/>
    <xf numFmtId="187" fontId="0" fillId="0" borderId="38" xfId="0" applyNumberFormat="1" applyBorder="1" applyAlignment="1">
      <alignment horizontal="center"/>
    </xf>
    <xf numFmtId="187" fontId="0" fillId="0" borderId="39" xfId="0" applyNumberFormat="1" applyBorder="1" applyAlignment="1">
      <alignment horizontal="center"/>
    </xf>
    <xf numFmtId="171" fontId="0" fillId="0" borderId="38" xfId="0" applyNumberFormat="1" applyBorder="1" applyAlignment="1">
      <alignment horizontal="center"/>
    </xf>
    <xf numFmtId="186" fontId="0" fillId="0" borderId="39" xfId="0" applyNumberFormat="1" applyBorder="1" applyAlignment="1">
      <alignment horizontal="center"/>
    </xf>
    <xf numFmtId="0" fontId="0" fillId="4" borderId="49" xfId="0" applyFill="1" applyBorder="1"/>
    <xf numFmtId="0" fontId="0" fillId="4" borderId="39" xfId="0" applyFill="1" applyBorder="1" applyAlignment="1">
      <alignment horizontal="left" indent="4"/>
    </xf>
    <xf numFmtId="188" fontId="0" fillId="0" borderId="0" xfId="0" applyNumberFormat="1" applyProtection="1">
      <protection locked="0"/>
    </xf>
    <xf numFmtId="188" fontId="9" fillId="0" borderId="0" xfId="0" applyNumberFormat="1" applyFont="1" applyProtection="1">
      <protection locked="0"/>
    </xf>
    <xf numFmtId="188" fontId="9" fillId="0" borderId="0" xfId="0" applyNumberFormat="1" applyFont="1" applyProtection="1"/>
    <xf numFmtId="169" fontId="17" fillId="0" borderId="0" xfId="0" applyNumberFormat="1" applyFont="1" applyBorder="1" applyAlignment="1" applyProtection="1">
      <alignment horizontal="left"/>
      <protection locked="0"/>
    </xf>
    <xf numFmtId="169" fontId="9" fillId="0" borderId="0" xfId="0" applyNumberFormat="1" applyFont="1" applyBorder="1" applyAlignment="1" applyProtection="1">
      <alignment horizontal="left" indent="1"/>
      <protection locked="0"/>
    </xf>
    <xf numFmtId="188" fontId="9" fillId="0" borderId="0" xfId="0" applyNumberFormat="1" applyFont="1" applyBorder="1" applyProtection="1">
      <protection locked="0"/>
    </xf>
    <xf numFmtId="169" fontId="6" fillId="0" borderId="0" xfId="0" applyNumberFormat="1" applyFont="1" applyBorder="1" applyAlignment="1" applyProtection="1">
      <alignment horizontal="left"/>
      <protection locked="0"/>
    </xf>
    <xf numFmtId="164" fontId="2" fillId="0" borderId="0" xfId="0" applyNumberFormat="1" applyFont="1" applyBorder="1" applyProtection="1">
      <protection locked="0"/>
    </xf>
    <xf numFmtId="169" fontId="2" fillId="0" borderId="0" xfId="0" applyNumberFormat="1" applyFont="1" applyBorder="1" applyProtection="1">
      <protection locked="0"/>
    </xf>
    <xf numFmtId="169" fontId="0" fillId="0" borderId="0" xfId="0" applyNumberFormat="1" applyFont="1" applyBorder="1" applyProtection="1">
      <protection locked="0"/>
    </xf>
    <xf numFmtId="169" fontId="2" fillId="0" borderId="32" xfId="0" applyNumberFormat="1" applyFont="1" applyBorder="1" applyProtection="1">
      <protection locked="0"/>
    </xf>
    <xf numFmtId="0" fontId="19" fillId="0" borderId="0" xfId="0" applyFont="1" applyAlignment="1" applyProtection="1">
      <alignment horizontal="left" indent="1"/>
      <protection locked="0"/>
    </xf>
    <xf numFmtId="178" fontId="19" fillId="0" borderId="0" xfId="0" applyNumberFormat="1" applyFont="1" applyBorder="1" applyProtection="1">
      <protection locked="0"/>
    </xf>
    <xf numFmtId="178" fontId="19" fillId="0" borderId="0" xfId="0" applyNumberFormat="1" applyFont="1" applyBorder="1" applyAlignment="1" applyProtection="1">
      <alignment horizontal="right"/>
      <protection locked="0"/>
    </xf>
    <xf numFmtId="169" fontId="2" fillId="0" borderId="46" xfId="0" applyNumberFormat="1" applyFont="1" applyBorder="1" applyProtection="1">
      <protection locked="0"/>
    </xf>
    <xf numFmtId="171" fontId="0" fillId="0" borderId="0" xfId="0" applyNumberFormat="1" applyProtection="1">
      <protection locked="0"/>
    </xf>
    <xf numFmtId="169" fontId="0" fillId="0" borderId="36" xfId="0" applyNumberFormat="1" applyBorder="1" applyProtection="1">
      <protection locked="0"/>
    </xf>
    <xf numFmtId="169" fontId="0" fillId="0" borderId="46" xfId="0" applyNumberFormat="1" applyBorder="1" applyProtection="1">
      <protection locked="0"/>
    </xf>
    <xf numFmtId="174" fontId="0" fillId="0" borderId="0" xfId="0" applyNumberFormat="1" applyProtection="1">
      <protection locked="0"/>
    </xf>
    <xf numFmtId="169" fontId="0" fillId="0" borderId="32" xfId="0" applyNumberFormat="1" applyFont="1" applyBorder="1" applyProtection="1">
      <protection locked="0"/>
    </xf>
    <xf numFmtId="0" fontId="16" fillId="0" borderId="0" xfId="0" applyFont="1" applyProtection="1">
      <protection locked="0"/>
    </xf>
    <xf numFmtId="169" fontId="0" fillId="0" borderId="32" xfId="0" applyNumberFormat="1" applyBorder="1" applyProtection="1">
      <protection locked="0"/>
    </xf>
    <xf numFmtId="0" fontId="16" fillId="0" borderId="0" xfId="0" applyFont="1" applyAlignment="1" applyProtection="1">
      <alignment horizontal="left"/>
      <protection locked="0"/>
    </xf>
    <xf numFmtId="169" fontId="0" fillId="0" borderId="33" xfId="0" applyNumberFormat="1" applyBorder="1" applyProtection="1">
      <protection locked="0"/>
    </xf>
    <xf numFmtId="169" fontId="0" fillId="0" borderId="34" xfId="0" applyNumberFormat="1" applyBorder="1" applyProtection="1">
      <protection locked="0"/>
    </xf>
    <xf numFmtId="169" fontId="0" fillId="0" borderId="38" xfId="0" applyNumberFormat="1" applyBorder="1" applyProtection="1">
      <protection locked="0"/>
    </xf>
    <xf numFmtId="169" fontId="0" fillId="0" borderId="0" xfId="0" applyNumberFormat="1" applyBorder="1" applyProtection="1">
      <protection locked="0"/>
    </xf>
    <xf numFmtId="169" fontId="0" fillId="0" borderId="39" xfId="0" applyNumberFormat="1" applyBorder="1" applyProtection="1">
      <protection locked="0"/>
    </xf>
    <xf numFmtId="168" fontId="0" fillId="0" borderId="35" xfId="0" applyNumberFormat="1" applyBorder="1" applyProtection="1">
      <protection locked="0"/>
    </xf>
    <xf numFmtId="168" fontId="0" fillId="0" borderId="36" xfId="0" applyNumberFormat="1" applyBorder="1" applyProtection="1">
      <protection locked="0"/>
    </xf>
    <xf numFmtId="168" fontId="0" fillId="0" borderId="37" xfId="0" applyNumberFormat="1" applyBorder="1" applyProtection="1">
      <protection locked="0"/>
    </xf>
    <xf numFmtId="173" fontId="0" fillId="0" borderId="29" xfId="0" applyNumberFormat="1" applyBorder="1" applyProtection="1">
      <protection locked="0"/>
    </xf>
    <xf numFmtId="173" fontId="0" fillId="0" borderId="30" xfId="0" applyNumberFormat="1" applyBorder="1" applyProtection="1">
      <protection locked="0"/>
    </xf>
    <xf numFmtId="173" fontId="0" fillId="0" borderId="31" xfId="0" applyNumberFormat="1" applyBorder="1" applyProtection="1">
      <protection locked="0"/>
    </xf>
    <xf numFmtId="171" fontId="0" fillId="0" borderId="32" xfId="0" applyNumberFormat="1" applyBorder="1" applyProtection="1">
      <protection locked="0"/>
    </xf>
    <xf numFmtId="171" fontId="0" fillId="0" borderId="33" xfId="0" applyNumberFormat="1" applyBorder="1" applyProtection="1">
      <protection locked="0"/>
    </xf>
    <xf numFmtId="171" fontId="0" fillId="0" borderId="34" xfId="0" applyNumberFormat="1" applyBorder="1" applyProtection="1">
      <protection locked="0"/>
    </xf>
    <xf numFmtId="171" fontId="0" fillId="0" borderId="38" xfId="0" applyNumberFormat="1" applyBorder="1" applyProtection="1">
      <protection locked="0"/>
    </xf>
    <xf numFmtId="171" fontId="0" fillId="0" borderId="0" xfId="0" applyNumberFormat="1" applyBorder="1" applyProtection="1">
      <protection locked="0"/>
    </xf>
    <xf numFmtId="171" fontId="0" fillId="0" borderId="39" xfId="0" applyNumberFormat="1" applyBorder="1" applyProtection="1">
      <protection locked="0"/>
    </xf>
    <xf numFmtId="171" fontId="0" fillId="0" borderId="43" xfId="0" applyNumberFormat="1" applyBorder="1" applyProtection="1">
      <protection locked="0"/>
    </xf>
    <xf numFmtId="171" fontId="0" fillId="0" borderId="44" xfId="0" applyNumberFormat="1" applyBorder="1" applyProtection="1">
      <protection locked="0"/>
    </xf>
    <xf numFmtId="171" fontId="0" fillId="0" borderId="45" xfId="0" applyNumberFormat="1" applyBorder="1" applyProtection="1">
      <protection locked="0"/>
    </xf>
    <xf numFmtId="170" fontId="0" fillId="0" borderId="36" xfId="0" applyNumberFormat="1" applyBorder="1" applyProtection="1">
      <protection locked="0"/>
    </xf>
    <xf numFmtId="169" fontId="0" fillId="0" borderId="43" xfId="0" applyNumberFormat="1" applyBorder="1" applyProtection="1">
      <protection locked="0"/>
    </xf>
    <xf numFmtId="169" fontId="0" fillId="0" borderId="44" xfId="0" applyNumberFormat="1" applyBorder="1" applyProtection="1">
      <protection locked="0"/>
    </xf>
    <xf numFmtId="169" fontId="0" fillId="0" borderId="45" xfId="0" applyNumberFormat="1" applyBorder="1" applyProtection="1">
      <protection locked="0"/>
    </xf>
    <xf numFmtId="170" fontId="0" fillId="0" borderId="38" xfId="0" applyNumberFormat="1" applyBorder="1" applyProtection="1">
      <protection locked="0"/>
    </xf>
    <xf numFmtId="170" fontId="0" fillId="0" borderId="0" xfId="0" applyNumberFormat="1" applyBorder="1" applyProtection="1">
      <protection locked="0"/>
    </xf>
    <xf numFmtId="170" fontId="0" fillId="0" borderId="39" xfId="0" applyNumberFormat="1" applyBorder="1" applyProtection="1">
      <protection locked="0"/>
    </xf>
    <xf numFmtId="170" fontId="0" fillId="0" borderId="35" xfId="0" applyNumberFormat="1" applyBorder="1" applyProtection="1">
      <protection locked="0"/>
    </xf>
    <xf numFmtId="170" fontId="0" fillId="0" borderId="37" xfId="0" applyNumberFormat="1" applyBorder="1" applyProtection="1">
      <protection locked="0"/>
    </xf>
    <xf numFmtId="169" fontId="0" fillId="0" borderId="40" xfId="0" applyNumberFormat="1" applyBorder="1" applyProtection="1">
      <protection locked="0"/>
    </xf>
    <xf numFmtId="169" fontId="0" fillId="0" borderId="41" xfId="0" applyNumberFormat="1" applyBorder="1" applyProtection="1">
      <protection locked="0"/>
    </xf>
    <xf numFmtId="169" fontId="0" fillId="0" borderId="42" xfId="0" applyNumberFormat="1" applyBorder="1" applyProtection="1">
      <protection locked="0"/>
    </xf>
    <xf numFmtId="171" fontId="0" fillId="0" borderId="35" xfId="0" applyNumberFormat="1" applyBorder="1" applyProtection="1">
      <protection locked="0"/>
    </xf>
    <xf numFmtId="171" fontId="0" fillId="0" borderId="36" xfId="0" applyNumberFormat="1" applyBorder="1" applyProtection="1">
      <protection locked="0"/>
    </xf>
    <xf numFmtId="171" fontId="0" fillId="0" borderId="37" xfId="0" applyNumberFormat="1" applyBorder="1" applyProtection="1">
      <protection locked="0"/>
    </xf>
    <xf numFmtId="177" fontId="0" fillId="0" borderId="0" xfId="0" applyNumberFormat="1" applyProtection="1">
      <protection locked="0"/>
    </xf>
    <xf numFmtId="0" fontId="0" fillId="0" borderId="27" xfId="0" applyFont="1" applyBorder="1" applyAlignment="1" applyProtection="1">
      <alignment horizontal="left" indent="1"/>
      <protection locked="0"/>
    </xf>
    <xf numFmtId="169" fontId="0" fillId="0" borderId="27" xfId="0" applyNumberFormat="1" applyBorder="1" applyProtection="1">
      <protection locked="0"/>
    </xf>
    <xf numFmtId="175" fontId="0" fillId="0" borderId="0" xfId="0" applyNumberFormat="1" applyAlignment="1" applyProtection="1">
      <alignment horizontal="left"/>
      <protection locked="0"/>
    </xf>
    <xf numFmtId="173" fontId="0" fillId="0" borderId="0" xfId="0" applyNumberFormat="1" applyAlignment="1" applyProtection="1">
      <alignment horizontal="left"/>
      <protection locked="0"/>
    </xf>
    <xf numFmtId="169" fontId="0" fillId="0" borderId="0" xfId="0" applyNumberFormat="1" applyAlignment="1" applyProtection="1">
      <alignment horizontal="left"/>
      <protection locked="0"/>
    </xf>
    <xf numFmtId="49" fontId="0" fillId="0" borderId="0" xfId="0" applyNumberFormat="1" applyAlignment="1" applyProtection="1">
      <alignment horizontal="left"/>
      <protection locked="0"/>
    </xf>
    <xf numFmtId="176" fontId="0" fillId="0" borderId="0" xfId="0" applyNumberFormat="1" applyProtection="1">
      <protection locked="0"/>
    </xf>
    <xf numFmtId="176" fontId="0" fillId="0" borderId="0" xfId="0" applyNumberFormat="1" applyAlignment="1" applyProtection="1">
      <alignment horizontal="right"/>
      <protection locked="0"/>
    </xf>
    <xf numFmtId="169" fontId="0" fillId="0" borderId="35" xfId="0" applyNumberFormat="1" applyBorder="1" applyProtection="1">
      <protection locked="0"/>
    </xf>
    <xf numFmtId="169" fontId="0" fillId="0" borderId="37" xfId="0" applyNumberFormat="1" applyBorder="1" applyProtection="1">
      <protection locked="0"/>
    </xf>
    <xf numFmtId="185" fontId="0" fillId="0" borderId="38" xfId="0" applyNumberFormat="1" applyBorder="1" applyProtection="1">
      <protection locked="0"/>
    </xf>
    <xf numFmtId="185" fontId="0" fillId="0" borderId="0" xfId="0" applyNumberFormat="1" applyBorder="1" applyProtection="1">
      <protection locked="0"/>
    </xf>
    <xf numFmtId="185" fontId="0" fillId="0" borderId="39" xfId="0" applyNumberFormat="1" applyBorder="1" applyProtection="1">
      <protection locked="0"/>
    </xf>
    <xf numFmtId="169" fontId="0" fillId="2" borderId="10" xfId="0" applyNumberFormat="1" applyFill="1" applyBorder="1" applyProtection="1">
      <protection locked="0"/>
    </xf>
    <xf numFmtId="169" fontId="0" fillId="2" borderId="11" xfId="0" applyNumberFormat="1" applyFill="1" applyBorder="1" applyProtection="1">
      <protection locked="0"/>
    </xf>
    <xf numFmtId="0" fontId="0" fillId="0" borderId="14" xfId="0" applyBorder="1" applyProtection="1">
      <protection locked="0"/>
    </xf>
    <xf numFmtId="166" fontId="2" fillId="0" borderId="16" xfId="0" applyNumberFormat="1" applyFont="1" applyFill="1" applyBorder="1" applyProtection="1">
      <protection locked="0"/>
    </xf>
    <xf numFmtId="166" fontId="2" fillId="0" borderId="17" xfId="0" applyNumberFormat="1" applyFont="1" applyFill="1" applyBorder="1" applyProtection="1">
      <protection locked="0"/>
    </xf>
    <xf numFmtId="171" fontId="0" fillId="0" borderId="21" xfId="0" applyNumberFormat="1" applyBorder="1" applyProtection="1">
      <protection locked="0"/>
    </xf>
    <xf numFmtId="171" fontId="0" fillId="0" borderId="22" xfId="0" applyNumberFormat="1" applyBorder="1" applyProtection="1">
      <protection locked="0"/>
    </xf>
    <xf numFmtId="171" fontId="0" fillId="0" borderId="23" xfId="0" applyNumberFormat="1" applyBorder="1" applyProtection="1">
      <protection locked="0"/>
    </xf>
    <xf numFmtId="171" fontId="0" fillId="0" borderId="24" xfId="0" applyNumberFormat="1" applyBorder="1" applyProtection="1">
      <protection locked="0"/>
    </xf>
    <xf numFmtId="171" fontId="0" fillId="0" borderId="25" xfId="0" applyNumberFormat="1" applyBorder="1" applyProtection="1">
      <protection locked="0"/>
    </xf>
    <xf numFmtId="185" fontId="0" fillId="0" borderId="24" xfId="0" applyNumberFormat="1" applyBorder="1" applyProtection="1">
      <protection locked="0"/>
    </xf>
    <xf numFmtId="185" fontId="0" fillId="0" borderId="25" xfId="0" applyNumberFormat="1" applyBorder="1" applyProtection="1">
      <protection locked="0"/>
    </xf>
    <xf numFmtId="171" fontId="0" fillId="0" borderId="26" xfId="0" applyNumberFormat="1" applyBorder="1" applyProtection="1">
      <protection locked="0"/>
    </xf>
    <xf numFmtId="171" fontId="0" fillId="0" borderId="27" xfId="0" applyNumberFormat="1" applyBorder="1" applyProtection="1">
      <protection locked="0"/>
    </xf>
    <xf numFmtId="171" fontId="0" fillId="0" borderId="28" xfId="0" applyNumberFormat="1" applyBorder="1" applyProtection="1">
      <protection locked="0"/>
    </xf>
    <xf numFmtId="167" fontId="2" fillId="0" borderId="16" xfId="0" applyNumberFormat="1" applyFont="1" applyFill="1" applyBorder="1" applyProtection="1">
      <protection locked="0"/>
    </xf>
    <xf numFmtId="169" fontId="2" fillId="0" borderId="0" xfId="0" applyNumberFormat="1" applyFont="1" applyProtection="1">
      <protection locked="0"/>
    </xf>
    <xf numFmtId="2" fontId="0" fillId="0" borderId="0" xfId="0" applyNumberFormat="1" applyBorder="1" applyProtection="1">
      <protection locked="0"/>
    </xf>
    <xf numFmtId="178" fontId="0" fillId="0" borderId="0" xfId="0" applyNumberFormat="1" applyBorder="1" applyProtection="1">
      <protection locked="0"/>
    </xf>
    <xf numFmtId="0" fontId="24" fillId="0" borderId="9" xfId="0" applyFont="1" applyBorder="1" applyAlignment="1" applyProtection="1">
      <alignment horizontal="centerContinuous"/>
      <protection locked="0"/>
    </xf>
    <xf numFmtId="0" fontId="25" fillId="0" borderId="0" xfId="0" applyFont="1" applyAlignment="1" applyProtection="1">
      <alignment horizontal="centerContinuous"/>
      <protection locked="0"/>
    </xf>
    <xf numFmtId="0" fontId="24" fillId="0" borderId="0" xfId="0" applyFont="1" applyAlignment="1" applyProtection="1">
      <alignment horizontal="centerContinuous"/>
      <protection locked="0"/>
    </xf>
    <xf numFmtId="169" fontId="25" fillId="0" borderId="0" xfId="0" applyNumberFormat="1" applyFont="1" applyAlignment="1" applyProtection="1">
      <alignment horizontal="centerContinuous"/>
      <protection locked="0"/>
    </xf>
    <xf numFmtId="0" fontId="0" fillId="0" borderId="48" xfId="0" applyBorder="1" applyProtection="1">
      <protection locked="0"/>
    </xf>
    <xf numFmtId="169" fontId="0" fillId="0" borderId="48" xfId="0" applyNumberFormat="1" applyBorder="1" applyProtection="1">
      <protection locked="0"/>
    </xf>
    <xf numFmtId="0" fontId="2" fillId="0" borderId="0" xfId="0" applyFont="1" applyAlignment="1" applyProtection="1">
      <alignment horizontal="centerContinuous"/>
      <protection locked="0"/>
    </xf>
    <xf numFmtId="169" fontId="0" fillId="0" borderId="0" xfId="0" applyNumberFormat="1" applyAlignment="1" applyProtection="1">
      <alignment horizontal="centerContinuous"/>
      <protection locked="0"/>
    </xf>
    <xf numFmtId="0" fontId="0" fillId="0" borderId="0" xfId="0" applyAlignment="1" applyProtection="1">
      <alignment horizontal="center"/>
      <protection locked="0"/>
    </xf>
    <xf numFmtId="169" fontId="0" fillId="0" borderId="0" xfId="0" applyNumberFormat="1" applyAlignment="1" applyProtection="1">
      <alignment horizontal="center"/>
      <protection locked="0"/>
    </xf>
    <xf numFmtId="168" fontId="0" fillId="0" borderId="0" xfId="0" applyNumberFormat="1" applyAlignment="1" applyProtection="1">
      <alignment horizontal="center"/>
      <protection locked="0"/>
    </xf>
    <xf numFmtId="178" fontId="0" fillId="0" borderId="0" xfId="0" applyNumberFormat="1" applyProtection="1">
      <protection locked="0"/>
    </xf>
    <xf numFmtId="0" fontId="2" fillId="0" borderId="0" xfId="0" applyFont="1" applyAlignment="1" applyProtection="1">
      <alignment vertical="center" textRotation="90"/>
      <protection locked="0"/>
    </xf>
    <xf numFmtId="169" fontId="3" fillId="0" borderId="0" xfId="0" applyNumberFormat="1" applyFont="1" applyProtection="1">
      <protection locked="0"/>
    </xf>
    <xf numFmtId="168" fontId="0" fillId="0" borderId="21" xfId="0" applyNumberFormat="1" applyBorder="1" applyAlignment="1" applyProtection="1">
      <alignment horizontal="center"/>
      <protection locked="0"/>
    </xf>
    <xf numFmtId="168" fontId="0" fillId="0" borderId="22" xfId="0" applyNumberFormat="1" applyBorder="1" applyAlignment="1" applyProtection="1">
      <alignment horizontal="center"/>
      <protection locked="0"/>
    </xf>
    <xf numFmtId="168" fontId="0" fillId="0" borderId="23" xfId="0" applyNumberFormat="1" applyBorder="1" applyAlignment="1" applyProtection="1">
      <alignment horizontal="center"/>
      <protection locked="0"/>
    </xf>
    <xf numFmtId="168" fontId="0" fillId="0" borderId="24" xfId="0" applyNumberFormat="1" applyBorder="1" applyAlignment="1" applyProtection="1">
      <alignment horizontal="center"/>
      <protection locked="0"/>
    </xf>
    <xf numFmtId="168" fontId="0" fillId="0" borderId="0" xfId="0" applyNumberFormat="1" applyBorder="1" applyAlignment="1" applyProtection="1">
      <alignment horizontal="center"/>
      <protection locked="0"/>
    </xf>
    <xf numFmtId="168" fontId="0" fillId="0" borderId="25" xfId="0" applyNumberFormat="1" applyBorder="1" applyAlignment="1" applyProtection="1">
      <alignment horizontal="center"/>
      <protection locked="0"/>
    </xf>
    <xf numFmtId="168" fontId="2" fillId="0" borderId="52" xfId="0" applyNumberFormat="1" applyFont="1" applyBorder="1" applyAlignment="1" applyProtection="1">
      <alignment horizontal="center"/>
      <protection locked="0"/>
    </xf>
    <xf numFmtId="168" fontId="0" fillId="0" borderId="26" xfId="0" applyNumberFormat="1" applyBorder="1" applyAlignment="1" applyProtection="1">
      <alignment horizontal="center"/>
      <protection locked="0"/>
    </xf>
    <xf numFmtId="168" fontId="0" fillId="0" borderId="27" xfId="0" applyNumberFormat="1" applyBorder="1" applyAlignment="1" applyProtection="1">
      <alignment horizontal="center"/>
      <protection locked="0"/>
    </xf>
    <xf numFmtId="168" fontId="0" fillId="0" borderId="28" xfId="0" applyNumberFormat="1" applyBorder="1" applyAlignment="1" applyProtection="1">
      <alignment horizontal="center"/>
      <protection locked="0"/>
    </xf>
    <xf numFmtId="188" fontId="0" fillId="0" borderId="0" xfId="0" applyNumberFormat="1" applyAlignment="1" applyProtection="1">
      <alignment horizontal="center"/>
      <protection locked="0"/>
    </xf>
    <xf numFmtId="189" fontId="0" fillId="0" borderId="0" xfId="0" applyNumberFormat="1" applyAlignment="1" applyProtection="1">
      <alignment horizontal="center"/>
      <protection locked="0"/>
    </xf>
    <xf numFmtId="189" fontId="0" fillId="0" borderId="0" xfId="0" applyNumberFormat="1" applyProtection="1">
      <protection locked="0"/>
    </xf>
    <xf numFmtId="188" fontId="9" fillId="0" borderId="0" xfId="0" applyNumberFormat="1" applyFont="1" applyAlignment="1" applyProtection="1">
      <alignment horizontal="center"/>
      <protection locked="0"/>
    </xf>
    <xf numFmtId="0" fontId="2" fillId="0" borderId="0" xfId="0" applyNumberFormat="1" applyFont="1" applyAlignment="1" applyProtection="1">
      <alignment horizontal="centerContinuous"/>
      <protection locked="0"/>
    </xf>
    <xf numFmtId="0" fontId="0" fillId="0" borderId="0" xfId="0" applyNumberFormat="1" applyAlignment="1" applyProtection="1">
      <alignment horizontal="centerContinuous"/>
      <protection locked="0"/>
    </xf>
    <xf numFmtId="169" fontId="2" fillId="0" borderId="52" xfId="0" applyNumberFormat="1" applyFont="1" applyBorder="1" applyAlignment="1" applyProtection="1">
      <alignment horizontal="center"/>
      <protection locked="0"/>
    </xf>
    <xf numFmtId="169" fontId="0" fillId="0" borderId="21" xfId="0" applyNumberFormat="1" applyBorder="1" applyAlignment="1" applyProtection="1">
      <alignment horizontal="center"/>
      <protection locked="0"/>
    </xf>
    <xf numFmtId="169" fontId="0" fillId="0" borderId="22" xfId="0" applyNumberFormat="1" applyBorder="1" applyAlignment="1" applyProtection="1">
      <alignment horizontal="center"/>
      <protection locked="0"/>
    </xf>
    <xf numFmtId="169" fontId="0" fillId="0" borderId="23" xfId="0" applyNumberFormat="1" applyBorder="1" applyAlignment="1" applyProtection="1">
      <alignment horizontal="center"/>
      <protection locked="0"/>
    </xf>
    <xf numFmtId="169" fontId="0" fillId="0" borderId="24" xfId="0" applyNumberFormat="1" applyBorder="1" applyAlignment="1" applyProtection="1">
      <alignment horizontal="center"/>
      <protection locked="0"/>
    </xf>
    <xf numFmtId="169" fontId="0" fillId="0" borderId="0" xfId="0" applyNumberFormat="1" applyBorder="1" applyAlignment="1" applyProtection="1">
      <alignment horizontal="center"/>
      <protection locked="0"/>
    </xf>
    <xf numFmtId="169" fontId="0" fillId="0" borderId="25" xfId="0" applyNumberFormat="1" applyBorder="1" applyAlignment="1" applyProtection="1">
      <alignment horizontal="center"/>
      <protection locked="0"/>
    </xf>
    <xf numFmtId="169" fontId="0" fillId="0" borderId="26" xfId="0" applyNumberFormat="1" applyBorder="1" applyAlignment="1" applyProtection="1">
      <alignment horizontal="center"/>
      <protection locked="0"/>
    </xf>
    <xf numFmtId="169" fontId="0" fillId="0" borderId="27" xfId="0" applyNumberFormat="1" applyBorder="1" applyAlignment="1" applyProtection="1">
      <alignment horizontal="center"/>
      <protection locked="0"/>
    </xf>
    <xf numFmtId="169" fontId="0" fillId="0" borderId="28" xfId="0" applyNumberFormat="1" applyBorder="1" applyAlignment="1" applyProtection="1">
      <alignment horizontal="center"/>
      <protection locked="0"/>
    </xf>
    <xf numFmtId="169" fontId="2" fillId="0" borderId="0" xfId="0" applyNumberFormat="1" applyFont="1" applyBorder="1" applyAlignment="1" applyProtection="1">
      <alignment horizontal="center"/>
      <protection locked="0"/>
    </xf>
    <xf numFmtId="168" fontId="3" fillId="0" borderId="0" xfId="0" applyNumberFormat="1" applyFont="1" applyAlignment="1" applyProtection="1">
      <alignment horizontal="right"/>
      <protection locked="0"/>
    </xf>
    <xf numFmtId="169" fontId="0" fillId="0" borderId="38" xfId="0" applyNumberFormat="1" applyBorder="1" applyAlignment="1" applyProtection="1">
      <alignment horizontal="right"/>
      <protection locked="0"/>
    </xf>
    <xf numFmtId="169" fontId="0" fillId="0" borderId="0" xfId="0" applyNumberFormat="1" applyBorder="1" applyAlignment="1" applyProtection="1">
      <alignment horizontal="right"/>
      <protection locked="0"/>
    </xf>
    <xf numFmtId="169" fontId="0" fillId="0" borderId="39" xfId="0" applyNumberFormat="1" applyBorder="1" applyAlignment="1" applyProtection="1">
      <alignment horizontal="right"/>
      <protection locked="0"/>
    </xf>
    <xf numFmtId="190" fontId="11" fillId="3" borderId="0" xfId="1" applyNumberFormat="1" applyFill="1" applyBorder="1" applyAlignment="1">
      <alignment horizontal="left" indent="4"/>
    </xf>
    <xf numFmtId="0" fontId="0" fillId="0" borderId="0" xfId="0" applyAlignment="1">
      <alignment horizontal="center"/>
    </xf>
    <xf numFmtId="183" fontId="2" fillId="0" borderId="53" xfId="0" applyNumberFormat="1" applyFont="1" applyBorder="1" applyProtection="1">
      <protection locked="0"/>
    </xf>
    <xf numFmtId="183" fontId="2" fillId="0" borderId="0" xfId="0" applyNumberFormat="1" applyFont="1" applyBorder="1" applyProtection="1">
      <protection locked="0"/>
    </xf>
    <xf numFmtId="187" fontId="2" fillId="0" borderId="0" xfId="0" applyNumberFormat="1" applyFont="1" applyBorder="1" applyAlignment="1" applyProtection="1">
      <alignment horizontal="left" indent="2"/>
      <protection locked="0"/>
    </xf>
    <xf numFmtId="183" fontId="2" fillId="0" borderId="53" xfId="0" applyNumberFormat="1" applyFont="1" applyBorder="1" applyAlignment="1" applyProtection="1">
      <alignment horizontal="left" indent="2"/>
      <protection locked="0"/>
    </xf>
    <xf numFmtId="183" fontId="2" fillId="0" borderId="0" xfId="0" applyNumberFormat="1" applyFont="1" applyBorder="1" applyAlignment="1" applyProtection="1">
      <alignment horizontal="left" indent="2"/>
      <protection locked="0"/>
    </xf>
    <xf numFmtId="0" fontId="0" fillId="0" borderId="25" xfId="0" applyBorder="1" applyProtection="1">
      <protection locked="0"/>
    </xf>
    <xf numFmtId="0" fontId="0" fillId="0" borderId="9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right"/>
      <protection locked="0"/>
    </xf>
    <xf numFmtId="0" fontId="0" fillId="0" borderId="0" xfId="0" applyAlignment="1" applyProtection="1">
      <alignment horizontal="left"/>
      <protection locked="0"/>
    </xf>
    <xf numFmtId="0" fontId="2" fillId="0" borderId="0" xfId="0" applyFont="1" applyAlignment="1" applyProtection="1">
      <alignment horizontal="center"/>
      <protection locked="0"/>
    </xf>
    <xf numFmtId="0" fontId="2" fillId="0" borderId="9" xfId="0" applyFont="1" applyBorder="1" applyProtection="1">
      <protection locked="0"/>
    </xf>
    <xf numFmtId="0" fontId="2" fillId="0" borderId="9" xfId="0" applyFont="1" applyBorder="1" applyAlignment="1" applyProtection="1">
      <alignment horizontal="center"/>
      <protection locked="0"/>
    </xf>
    <xf numFmtId="0" fontId="2" fillId="0" borderId="48" xfId="0" applyFont="1" applyBorder="1" applyProtection="1">
      <protection locked="0"/>
    </xf>
    <xf numFmtId="0" fontId="2" fillId="0" borderId="0" xfId="0" applyFont="1" applyBorder="1" applyProtection="1">
      <protection locked="0"/>
    </xf>
    <xf numFmtId="0" fontId="2" fillId="0" borderId="0" xfId="0" applyFont="1" applyAlignment="1" applyProtection="1">
      <alignment horizontal="center" vertical="top"/>
      <protection locked="0"/>
    </xf>
    <xf numFmtId="0" fontId="0" fillId="0" borderId="9" xfId="0" applyFont="1" applyBorder="1" applyAlignment="1" applyProtection="1">
      <alignment horizontal="center"/>
      <protection locked="0"/>
    </xf>
    <xf numFmtId="0" fontId="2" fillId="0" borderId="9" xfId="0" applyFont="1" applyBorder="1" applyAlignment="1" applyProtection="1">
      <alignment horizontal="left" indent="1"/>
      <protection locked="0"/>
    </xf>
    <xf numFmtId="0" fontId="2" fillId="0" borderId="9" xfId="0" applyFont="1" applyBorder="1" applyAlignment="1" applyProtection="1">
      <alignment horizontal="left" indent="2"/>
      <protection locked="0"/>
    </xf>
    <xf numFmtId="0" fontId="2" fillId="0" borderId="9" xfId="0" applyFont="1" applyBorder="1" applyAlignment="1" applyProtection="1">
      <alignment horizontal="right"/>
      <protection locked="0"/>
    </xf>
    <xf numFmtId="169" fontId="9" fillId="0" borderId="0" xfId="0" applyNumberFormat="1" applyFont="1" applyAlignment="1" applyProtection="1">
      <alignment horizontal="right"/>
      <protection locked="0"/>
    </xf>
    <xf numFmtId="0" fontId="9" fillId="0" borderId="0" xfId="0" applyFont="1" applyAlignment="1" applyProtection="1">
      <alignment horizontal="left"/>
      <protection locked="0"/>
    </xf>
    <xf numFmtId="172" fontId="0" fillId="0" borderId="0" xfId="0" applyNumberFormat="1" applyProtection="1">
      <protection locked="0"/>
    </xf>
    <xf numFmtId="172" fontId="9" fillId="0" borderId="0" xfId="0" applyNumberFormat="1" applyFont="1" applyProtection="1">
      <protection locked="0"/>
    </xf>
    <xf numFmtId="168" fontId="0" fillId="0" borderId="48" xfId="0" applyNumberFormat="1" applyBorder="1" applyProtection="1">
      <protection locked="0"/>
    </xf>
    <xf numFmtId="172" fontId="0" fillId="0" borderId="48" xfId="0" applyNumberFormat="1" applyBorder="1" applyProtection="1">
      <protection locked="0"/>
    </xf>
    <xf numFmtId="168" fontId="0" fillId="0" borderId="9" xfId="0" applyNumberFormat="1" applyBorder="1" applyProtection="1">
      <protection locked="0"/>
    </xf>
    <xf numFmtId="172" fontId="0" fillId="0" borderId="9" xfId="0" applyNumberFormat="1" applyBorder="1" applyProtection="1">
      <protection locked="0"/>
    </xf>
    <xf numFmtId="4" fontId="0" fillId="0" borderId="0" xfId="0" applyNumberFormat="1" applyProtection="1">
      <protection locked="0"/>
    </xf>
    <xf numFmtId="167" fontId="9" fillId="0" borderId="0" xfId="0" applyNumberFormat="1" applyFont="1" applyAlignment="1" applyProtection="1">
      <alignment horizontal="right"/>
      <protection locked="0"/>
    </xf>
    <xf numFmtId="178" fontId="9" fillId="0" borderId="0" xfId="0" applyNumberFormat="1" applyFont="1" applyProtection="1">
      <protection locked="0"/>
    </xf>
    <xf numFmtId="168" fontId="0" fillId="0" borderId="27" xfId="0" applyNumberFormat="1" applyBorder="1" applyProtection="1">
      <protection locked="0"/>
    </xf>
    <xf numFmtId="192" fontId="9" fillId="0" borderId="0" xfId="0" applyNumberFormat="1" applyFont="1" applyProtection="1">
      <protection locked="0"/>
    </xf>
    <xf numFmtId="0" fontId="0" fillId="0" borderId="0" xfId="0" applyNumberFormat="1" applyBorder="1" applyProtection="1">
      <protection locked="0"/>
    </xf>
    <xf numFmtId="188" fontId="0" fillId="0" borderId="27" xfId="0" applyNumberFormat="1" applyBorder="1" applyProtection="1">
      <protection locked="0"/>
    </xf>
    <xf numFmtId="188" fontId="0" fillId="0" borderId="22" xfId="0" applyNumberFormat="1" applyBorder="1" applyProtection="1">
      <protection locked="0"/>
    </xf>
    <xf numFmtId="192" fontId="0" fillId="0" borderId="22" xfId="0" applyNumberFormat="1" applyBorder="1" applyProtection="1">
      <protection locked="0"/>
    </xf>
    <xf numFmtId="192" fontId="0" fillId="0" borderId="46" xfId="0" applyNumberFormat="1" applyBorder="1" applyProtection="1">
      <protection locked="0"/>
    </xf>
    <xf numFmtId="0" fontId="0" fillId="0" borderId="9" xfId="0" applyBorder="1" applyAlignment="1" applyProtection="1">
      <alignment horizontal="left" indent="2"/>
      <protection locked="0"/>
    </xf>
    <xf numFmtId="0" fontId="0" fillId="0" borderId="11" xfId="0" applyFill="1" applyBorder="1" applyAlignment="1" applyProtection="1">
      <alignment horizontal="centerContinuous"/>
      <protection locked="0"/>
    </xf>
    <xf numFmtId="0" fontId="17" fillId="0" borderId="54" xfId="0" applyFont="1" applyFill="1" applyBorder="1" applyAlignment="1" applyProtection="1">
      <alignment horizontal="centerContinuous"/>
      <protection locked="0"/>
    </xf>
    <xf numFmtId="0" fontId="9" fillId="0" borderId="54" xfId="0" applyFont="1" applyFill="1" applyBorder="1" applyAlignment="1" applyProtection="1">
      <alignment horizontal="centerContinuous"/>
      <protection locked="0"/>
    </xf>
    <xf numFmtId="0" fontId="0" fillId="0" borderId="54" xfId="0" applyFill="1" applyBorder="1" applyAlignment="1" applyProtection="1">
      <alignment horizontal="centerContinuous"/>
      <protection locked="0"/>
    </xf>
    <xf numFmtId="178" fontId="0" fillId="0" borderId="0" xfId="0" applyNumberFormat="1"/>
    <xf numFmtId="0" fontId="19" fillId="0" borderId="0" xfId="0" applyFont="1"/>
    <xf numFmtId="178" fontId="19" fillId="0" borderId="0" xfId="0" applyNumberFormat="1" applyFont="1"/>
    <xf numFmtId="169" fontId="19" fillId="0" borderId="0" xfId="0" applyNumberFormat="1" applyFont="1"/>
    <xf numFmtId="169" fontId="2" fillId="0" borderId="32" xfId="0" applyNumberFormat="1" applyFont="1" applyBorder="1"/>
    <xf numFmtId="169" fontId="2" fillId="0" borderId="0" xfId="0" applyNumberFormat="1" applyFont="1" applyBorder="1"/>
    <xf numFmtId="169" fontId="0" fillId="0" borderId="36" xfId="0" applyNumberFormat="1" applyBorder="1"/>
    <xf numFmtId="169" fontId="0" fillId="0" borderId="32" xfId="0" applyNumberFormat="1" applyBorder="1"/>
    <xf numFmtId="169" fontId="0" fillId="0" borderId="27" xfId="0" applyNumberFormat="1" applyBorder="1"/>
    <xf numFmtId="0" fontId="19" fillId="0" borderId="0" xfId="0" applyFont="1" applyAlignment="1">
      <alignment horizontal="left" indent="1"/>
    </xf>
    <xf numFmtId="169" fontId="0" fillId="0" borderId="22" xfId="0" applyNumberFormat="1" applyBorder="1"/>
    <xf numFmtId="0" fontId="27" fillId="0" borderId="0" xfId="0" applyFont="1"/>
    <xf numFmtId="194" fontId="0" fillId="0" borderId="0" xfId="0" applyNumberFormat="1"/>
    <xf numFmtId="194" fontId="0" fillId="0" borderId="14" xfId="0" applyNumberFormat="1" applyBorder="1"/>
    <xf numFmtId="194" fontId="0" fillId="0" borderId="0" xfId="0" applyNumberFormat="1" applyBorder="1"/>
    <xf numFmtId="0" fontId="0" fillId="0" borderId="14" xfId="0" applyBorder="1"/>
    <xf numFmtId="194" fontId="0" fillId="0" borderId="17" xfId="0" applyNumberFormat="1" applyBorder="1"/>
    <xf numFmtId="194" fontId="0" fillId="0" borderId="16" xfId="0" applyNumberFormat="1" applyBorder="1"/>
    <xf numFmtId="194" fontId="0" fillId="0" borderId="57" xfId="0" applyNumberFormat="1" applyBorder="1"/>
    <xf numFmtId="194" fontId="0" fillId="0" borderId="58" xfId="0" applyNumberFormat="1" applyBorder="1"/>
    <xf numFmtId="183" fontId="2" fillId="2" borderId="53" xfId="0" applyNumberFormat="1" applyFont="1" applyFill="1" applyBorder="1" applyAlignment="1" applyProtection="1">
      <alignment horizontal="centerContinuous"/>
      <protection locked="0"/>
    </xf>
    <xf numFmtId="183" fontId="2" fillId="2" borderId="55" xfId="0" applyNumberFormat="1" applyFont="1" applyFill="1" applyBorder="1" applyAlignment="1" applyProtection="1">
      <alignment horizontal="centerContinuous"/>
      <protection locked="0"/>
    </xf>
    <xf numFmtId="183" fontId="2" fillId="2" borderId="55" xfId="0" applyNumberFormat="1" applyFont="1" applyFill="1" applyBorder="1" applyAlignment="1" applyProtection="1">
      <alignment horizontal="center"/>
      <protection locked="0"/>
    </xf>
    <xf numFmtId="183" fontId="2" fillId="2" borderId="56" xfId="0" applyNumberFormat="1" applyFont="1" applyFill="1" applyBorder="1" applyAlignment="1" applyProtection="1">
      <alignment horizontal="center"/>
      <protection locked="0"/>
    </xf>
    <xf numFmtId="0" fontId="0" fillId="0" borderId="21" xfId="0" applyBorder="1"/>
    <xf numFmtId="192" fontId="0" fillId="0" borderId="23" xfId="0" applyNumberFormat="1" applyBorder="1"/>
    <xf numFmtId="0" fontId="0" fillId="0" borderId="26" xfId="0" applyBorder="1"/>
    <xf numFmtId="192" fontId="0" fillId="0" borderId="28" xfId="0" applyNumberFormat="1" applyBorder="1"/>
    <xf numFmtId="195" fontId="9" fillId="0" borderId="0" xfId="0" applyNumberFormat="1" applyFont="1" applyProtection="1">
      <protection locked="0"/>
    </xf>
    <xf numFmtId="0" fontId="16" fillId="0" borderId="0" xfId="0" applyFont="1" applyAlignment="1">
      <alignment horizontal="right"/>
    </xf>
    <xf numFmtId="0" fontId="0" fillId="0" borderId="0" xfId="0" applyAlignment="1">
      <alignment horizontal="left"/>
    </xf>
    <xf numFmtId="169" fontId="0" fillId="0" borderId="41" xfId="0" applyNumberFormat="1" applyBorder="1"/>
    <xf numFmtId="169" fontId="0" fillId="0" borderId="52" xfId="0" applyNumberFormat="1" applyBorder="1"/>
    <xf numFmtId="170" fontId="0" fillId="0" borderId="60" xfId="0" applyNumberFormat="1" applyBorder="1"/>
    <xf numFmtId="170" fontId="0" fillId="0" borderId="61" xfId="0" applyNumberFormat="1" applyBorder="1"/>
    <xf numFmtId="172" fontId="0" fillId="0" borderId="60" xfId="0" applyNumberFormat="1" applyBorder="1"/>
    <xf numFmtId="172" fontId="0" fillId="0" borderId="61" xfId="0" applyNumberFormat="1" applyBorder="1"/>
    <xf numFmtId="192" fontId="0" fillId="0" borderId="0" xfId="0" applyNumberFormat="1" applyBorder="1"/>
    <xf numFmtId="171" fontId="0" fillId="0" borderId="32" xfId="0" applyNumberFormat="1" applyBorder="1"/>
    <xf numFmtId="169" fontId="9" fillId="0" borderId="40" xfId="0" applyNumberFormat="1" applyFont="1" applyBorder="1"/>
    <xf numFmtId="0" fontId="9" fillId="0" borderId="0" xfId="0" applyFont="1"/>
    <xf numFmtId="169" fontId="9" fillId="0" borderId="0" xfId="0" applyNumberFormat="1" applyFont="1"/>
    <xf numFmtId="169" fontId="9" fillId="0" borderId="32" xfId="0" applyNumberFormat="1" applyFont="1" applyBorder="1"/>
    <xf numFmtId="169" fontId="9" fillId="0" borderId="59" xfId="0" applyNumberFormat="1" applyFont="1" applyBorder="1" applyAlignment="1">
      <alignment horizontal="right"/>
    </xf>
    <xf numFmtId="171" fontId="9" fillId="0" borderId="32" xfId="0" applyNumberFormat="1" applyFont="1" applyBorder="1"/>
    <xf numFmtId="169" fontId="9" fillId="0" borderId="59" xfId="0" applyNumberFormat="1" applyFont="1" applyBorder="1"/>
    <xf numFmtId="171" fontId="0" fillId="0" borderId="33" xfId="0" applyNumberFormat="1" applyFont="1" applyBorder="1" applyAlignment="1">
      <alignment horizontal="left" indent="1"/>
    </xf>
    <xf numFmtId="168" fontId="0" fillId="0" borderId="32" xfId="0" applyNumberFormat="1" applyBorder="1"/>
    <xf numFmtId="169" fontId="0" fillId="0" borderId="34" xfId="0" applyNumberFormat="1" applyBorder="1"/>
    <xf numFmtId="171" fontId="0" fillId="0" borderId="38" xfId="0" applyNumberFormat="1" applyBorder="1" applyAlignment="1">
      <alignment horizontal="left" indent="1"/>
    </xf>
    <xf numFmtId="171" fontId="0" fillId="0" borderId="0" xfId="0" applyNumberFormat="1" applyBorder="1"/>
    <xf numFmtId="168" fontId="0" fillId="0" borderId="0" xfId="0" applyNumberFormat="1" applyBorder="1"/>
    <xf numFmtId="169" fontId="0" fillId="0" borderId="39" xfId="0" applyNumberFormat="1" applyBorder="1"/>
    <xf numFmtId="171" fontId="0" fillId="0" borderId="38" xfId="0" applyNumberFormat="1" applyBorder="1"/>
    <xf numFmtId="171" fontId="0" fillId="0" borderId="38" xfId="0" applyNumberFormat="1" applyFont="1" applyBorder="1" applyAlignment="1">
      <alignment horizontal="left" indent="1"/>
    </xf>
    <xf numFmtId="171" fontId="0" fillId="0" borderId="35" xfId="0" applyNumberFormat="1" applyBorder="1" applyAlignment="1">
      <alignment horizontal="left" indent="1"/>
    </xf>
    <xf numFmtId="171" fontId="0" fillId="0" borderId="36" xfId="0" applyNumberFormat="1" applyBorder="1"/>
    <xf numFmtId="169" fontId="0" fillId="0" borderId="37" xfId="0" applyNumberFormat="1" applyBorder="1"/>
    <xf numFmtId="172" fontId="0" fillId="0" borderId="33" xfId="0" applyNumberFormat="1" applyBorder="1" applyAlignment="1">
      <alignment horizontal="left" indent="1"/>
    </xf>
    <xf numFmtId="172" fontId="0" fillId="0" borderId="38" xfId="0" applyNumberFormat="1" applyBorder="1" applyAlignment="1">
      <alignment horizontal="left" indent="1"/>
    </xf>
    <xf numFmtId="172" fontId="0" fillId="0" borderId="35" xfId="0" applyNumberFormat="1" applyBorder="1" applyAlignment="1">
      <alignment horizontal="left" indent="1"/>
    </xf>
    <xf numFmtId="0" fontId="2" fillId="2" borderId="40" xfId="0" applyFont="1" applyFill="1" applyBorder="1" applyAlignment="1">
      <alignment horizontal="centerContinuous"/>
    </xf>
    <xf numFmtId="169" fontId="0" fillId="2" borderId="41" xfId="0" applyNumberFormat="1" applyFill="1" applyBorder="1" applyAlignment="1">
      <alignment horizontal="centerContinuous"/>
    </xf>
    <xf numFmtId="169" fontId="0" fillId="2" borderId="42" xfId="0" applyNumberFormat="1" applyFill="1" applyBorder="1" applyAlignment="1">
      <alignment horizontal="centerContinuous"/>
    </xf>
    <xf numFmtId="171" fontId="2" fillId="2" borderId="40" xfId="0" applyNumberFormat="1" applyFont="1" applyFill="1" applyBorder="1" applyAlignment="1">
      <alignment horizontal="centerContinuous"/>
    </xf>
    <xf numFmtId="176" fontId="26" fillId="0" borderId="0" xfId="0" applyNumberFormat="1" applyFont="1" applyAlignment="1">
      <alignment horizontal="right"/>
    </xf>
    <xf numFmtId="0" fontId="2" fillId="0" borderId="48" xfId="0" applyFont="1" applyBorder="1"/>
    <xf numFmtId="169" fontId="0" fillId="0" borderId="48" xfId="0" applyNumberFormat="1" applyBorder="1"/>
    <xf numFmtId="0" fontId="2" fillId="0" borderId="0" xfId="0" applyFont="1" applyBorder="1"/>
    <xf numFmtId="0" fontId="2" fillId="0" borderId="9" xfId="0" applyFont="1" applyBorder="1"/>
    <xf numFmtId="169" fontId="0" fillId="0" borderId="9" xfId="0" applyNumberFormat="1" applyBorder="1"/>
    <xf numFmtId="0" fontId="2" fillId="0" borderId="0" xfId="0" applyFont="1" applyFill="1" applyBorder="1" applyAlignment="1">
      <alignment horizontal="left" indent="2"/>
    </xf>
    <xf numFmtId="169" fontId="0" fillId="0" borderId="0" xfId="0" applyNumberForma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169" fontId="2" fillId="0" borderId="0" xfId="0" applyNumberFormat="1" applyFont="1" applyFill="1" applyBorder="1" applyAlignment="1">
      <alignment horizontal="center"/>
    </xf>
    <xf numFmtId="0" fontId="2" fillId="0" borderId="0" xfId="0" applyFont="1" applyFill="1" applyBorder="1" applyAlignment="1">
      <alignment horizontal="centerContinuous"/>
    </xf>
    <xf numFmtId="169" fontId="0" fillId="0" borderId="0" xfId="0" applyNumberFormat="1" applyFill="1" applyBorder="1" applyAlignment="1">
      <alignment horizontal="centerContinuous"/>
    </xf>
    <xf numFmtId="0" fontId="2" fillId="0" borderId="0" xfId="0" applyNumberFormat="1" applyFont="1" applyFill="1" applyBorder="1" applyAlignment="1">
      <alignment horizontal="left"/>
    </xf>
    <xf numFmtId="169" fontId="2" fillId="0" borderId="0" xfId="0" applyNumberFormat="1" applyFont="1" applyFill="1" applyBorder="1" applyAlignment="1">
      <alignment horizontal="centerContinuous"/>
    </xf>
    <xf numFmtId="169" fontId="0" fillId="0" borderId="0" xfId="0" applyNumberFormat="1" applyFill="1" applyBorder="1"/>
    <xf numFmtId="0" fontId="0" fillId="0" borderId="0" xfId="0" applyFill="1" applyBorder="1" applyAlignment="1"/>
    <xf numFmtId="0" fontId="0" fillId="0" borderId="9" xfId="0" applyFill="1" applyBorder="1" applyAlignment="1">
      <alignment horizontal="center"/>
    </xf>
    <xf numFmtId="169" fontId="0" fillId="0" borderId="9" xfId="0" applyNumberForma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85" fontId="0" fillId="0" borderId="0" xfId="0" applyNumberFormat="1" applyAlignment="1">
      <alignment horizontal="center"/>
    </xf>
    <xf numFmtId="169" fontId="0" fillId="0" borderId="0" xfId="0" applyNumberFormat="1" applyAlignment="1">
      <alignment horizontal="right"/>
    </xf>
    <xf numFmtId="185" fontId="0" fillId="0" borderId="48" xfId="0" applyNumberFormat="1" applyBorder="1" applyAlignment="1">
      <alignment horizontal="center"/>
    </xf>
    <xf numFmtId="185" fontId="0" fillId="0" borderId="0" xfId="0" applyNumberFormat="1" applyBorder="1" applyAlignment="1">
      <alignment horizontal="center"/>
    </xf>
    <xf numFmtId="185" fontId="0" fillId="0" borderId="9" xfId="0" applyNumberFormat="1" applyBorder="1" applyAlignment="1">
      <alignment horizontal="center"/>
    </xf>
    <xf numFmtId="169" fontId="9" fillId="0" borderId="0" xfId="0" applyNumberFormat="1" applyFont="1" applyAlignment="1">
      <alignment horizontal="right"/>
    </xf>
    <xf numFmtId="185" fontId="0" fillId="0" borderId="23" xfId="0" applyNumberFormat="1" applyBorder="1" applyAlignment="1">
      <alignment horizontal="right"/>
    </xf>
    <xf numFmtId="169" fontId="2" fillId="0" borderId="9" xfId="0" applyNumberFormat="1" applyFont="1" applyFill="1" applyBorder="1" applyAlignment="1">
      <alignment horizontal="center"/>
    </xf>
    <xf numFmtId="196" fontId="0" fillId="0" borderId="0" xfId="0" applyNumberFormat="1" applyAlignment="1">
      <alignment horizontal="right"/>
    </xf>
    <xf numFmtId="191" fontId="26" fillId="0" borderId="0" xfId="0" applyNumberFormat="1" applyFont="1" applyAlignment="1">
      <alignment horizontal="right"/>
    </xf>
    <xf numFmtId="176" fontId="18" fillId="0" borderId="0" xfId="0" applyNumberFormat="1" applyFont="1" applyAlignment="1">
      <alignment horizontal="right"/>
    </xf>
    <xf numFmtId="185" fontId="9" fillId="0" borderId="0" xfId="0" applyNumberFormat="1" applyFont="1" applyProtection="1">
      <protection locked="0"/>
    </xf>
    <xf numFmtId="169" fontId="9" fillId="0" borderId="33" xfId="0" applyNumberFormat="1" applyFont="1" applyBorder="1"/>
    <xf numFmtId="169" fontId="0" fillId="0" borderId="63" xfId="0" applyNumberFormat="1" applyBorder="1"/>
    <xf numFmtId="169" fontId="9" fillId="0" borderId="35" xfId="0" applyNumberFormat="1" applyFont="1" applyBorder="1"/>
    <xf numFmtId="169" fontId="0" fillId="0" borderId="62" xfId="0" applyNumberFormat="1" applyBorder="1"/>
    <xf numFmtId="0" fontId="0" fillId="0" borderId="24" xfId="0" applyBorder="1"/>
    <xf numFmtId="192" fontId="0" fillId="0" borderId="25" xfId="0" applyNumberFormat="1" applyBorder="1"/>
    <xf numFmtId="0" fontId="0" fillId="0" borderId="26" xfId="0" applyFill="1" applyBorder="1"/>
    <xf numFmtId="171" fontId="0" fillId="0" borderId="28" xfId="0" applyNumberFormat="1" applyBorder="1"/>
    <xf numFmtId="169" fontId="6" fillId="0" borderId="32" xfId="0" applyNumberFormat="1" applyFont="1" applyBorder="1"/>
    <xf numFmtId="171" fontId="6" fillId="0" borderId="32" xfId="0" applyNumberFormat="1" applyFont="1" applyBorder="1"/>
    <xf numFmtId="169" fontId="9" fillId="0" borderId="22" xfId="0" applyNumberFormat="1" applyFont="1" applyBorder="1" applyAlignment="1">
      <alignment horizontal="right"/>
    </xf>
    <xf numFmtId="169" fontId="9" fillId="0" borderId="36" xfId="0" applyNumberFormat="1" applyFont="1" applyBorder="1" applyAlignment="1">
      <alignment horizontal="right"/>
    </xf>
    <xf numFmtId="169" fontId="6" fillId="0" borderId="0" xfId="0" applyNumberFormat="1" applyFont="1"/>
    <xf numFmtId="193" fontId="9" fillId="0" borderId="0" xfId="0" applyNumberFormat="1" applyFont="1" applyProtection="1">
      <protection locked="0"/>
    </xf>
    <xf numFmtId="176" fontId="18" fillId="0" borderId="0" xfId="0" applyNumberFormat="1" applyFont="1" applyBorder="1" applyAlignment="1" applyProtection="1">
      <alignment horizontal="right"/>
      <protection locked="0"/>
    </xf>
    <xf numFmtId="191" fontId="18" fillId="0" borderId="0" xfId="0" applyNumberFormat="1" applyFont="1" applyAlignment="1" applyProtection="1">
      <alignment horizontal="right"/>
      <protection locked="0"/>
    </xf>
    <xf numFmtId="197" fontId="18" fillId="0" borderId="0" xfId="0" applyNumberFormat="1" applyFont="1" applyAlignment="1" applyProtection="1">
      <alignment horizontal="right"/>
      <protection locked="0"/>
    </xf>
    <xf numFmtId="0" fontId="18" fillId="0" borderId="0" xfId="0" applyFont="1" applyAlignment="1" applyProtection="1">
      <alignment horizontal="right"/>
      <protection locked="0"/>
    </xf>
    <xf numFmtId="0" fontId="2" fillId="0" borderId="46" xfId="0" applyFont="1" applyBorder="1"/>
    <xf numFmtId="0" fontId="0" fillId="0" borderId="46" xfId="0" applyBorder="1"/>
    <xf numFmtId="0" fontId="18" fillId="0" borderId="0" xfId="0" applyFont="1" applyAlignment="1">
      <alignment horizontal="right"/>
    </xf>
    <xf numFmtId="191" fontId="18" fillId="0" borderId="0" xfId="0" applyNumberFormat="1" applyFont="1" applyAlignment="1">
      <alignment horizontal="right"/>
    </xf>
    <xf numFmtId="197" fontId="18" fillId="0" borderId="0" xfId="0" applyNumberFormat="1" applyFont="1" applyAlignment="1">
      <alignment horizontal="right"/>
    </xf>
    <xf numFmtId="17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17" fontId="6" fillId="0" borderId="0" xfId="0" applyNumberFormat="1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/>
    <xf numFmtId="0" fontId="6" fillId="0" borderId="0" xfId="0" applyFont="1" applyProtection="1">
      <protection locked="0"/>
    </xf>
    <xf numFmtId="0" fontId="6" fillId="0" borderId="0" xfId="0" applyFont="1" applyAlignment="1" applyProtection="1">
      <alignment horizontal="left" indent="1"/>
      <protection locked="0"/>
    </xf>
    <xf numFmtId="169" fontId="18" fillId="0" borderId="0" xfId="0" applyNumberFormat="1" applyFont="1"/>
    <xf numFmtId="169" fontId="2" fillId="0" borderId="9" xfId="0" applyNumberFormat="1" applyFont="1" applyBorder="1"/>
    <xf numFmtId="169" fontId="0" fillId="0" borderId="46" xfId="0" applyNumberFormat="1" applyBorder="1"/>
    <xf numFmtId="193" fontId="0" fillId="0" borderId="0" xfId="0" applyNumberFormat="1" applyProtection="1">
      <protection locked="0"/>
    </xf>
    <xf numFmtId="188" fontId="6" fillId="0" borderId="0" xfId="0" applyNumberFormat="1" applyFont="1" applyAlignment="1" applyProtection="1">
      <alignment horizontal="center"/>
      <protection locked="0"/>
    </xf>
    <xf numFmtId="193" fontId="6" fillId="0" borderId="0" xfId="0" applyNumberFormat="1" applyFont="1" applyProtection="1">
      <protection locked="0"/>
    </xf>
    <xf numFmtId="198" fontId="0" fillId="0" borderId="0" xfId="0" applyNumberFormat="1"/>
    <xf numFmtId="185" fontId="0" fillId="0" borderId="0" xfId="0" applyNumberFormat="1" applyAlignment="1" applyProtection="1">
      <alignment horizontal="center"/>
      <protection locked="0"/>
    </xf>
    <xf numFmtId="199" fontId="0" fillId="0" borderId="0" xfId="0" applyNumberFormat="1" applyProtection="1">
      <protection locked="0"/>
    </xf>
    <xf numFmtId="169" fontId="3" fillId="0" borderId="0" xfId="0" applyNumberFormat="1" applyFont="1" applyAlignment="1" applyProtection="1">
      <alignment horizontal="right"/>
      <protection locked="0"/>
    </xf>
    <xf numFmtId="171" fontId="0" fillId="0" borderId="21" xfId="0" applyNumberFormat="1" applyBorder="1" applyAlignment="1">
      <alignment horizontal="left"/>
    </xf>
    <xf numFmtId="198" fontId="0" fillId="0" borderId="23" xfId="0" applyNumberFormat="1" applyBorder="1"/>
    <xf numFmtId="171" fontId="0" fillId="0" borderId="24" xfId="0" applyNumberFormat="1" applyBorder="1" applyAlignment="1">
      <alignment horizontal="left"/>
    </xf>
    <xf numFmtId="171" fontId="0" fillId="0" borderId="26" xfId="0" applyNumberFormat="1" applyBorder="1" applyAlignment="1">
      <alignment horizontal="left"/>
    </xf>
    <xf numFmtId="185" fontId="0" fillId="0" borderId="28" xfId="0" applyNumberFormat="1" applyBorder="1" applyAlignment="1">
      <alignment horizontal="right"/>
    </xf>
    <xf numFmtId="0" fontId="2" fillId="0" borderId="59" xfId="0" applyFont="1" applyBorder="1"/>
    <xf numFmtId="0" fontId="0" fillId="0" borderId="60" xfId="0" applyBorder="1"/>
    <xf numFmtId="0" fontId="0" fillId="0" borderId="61" xfId="0" applyBorder="1"/>
    <xf numFmtId="185" fontId="9" fillId="0" borderId="0" xfId="0" applyNumberFormat="1" applyFont="1" applyAlignment="1">
      <alignment horizontal="right"/>
    </xf>
    <xf numFmtId="185" fontId="9" fillId="0" borderId="0" xfId="0" applyNumberFormat="1" applyFont="1" applyAlignment="1">
      <alignment horizontal="right" vertical="top"/>
    </xf>
    <xf numFmtId="185" fontId="2" fillId="0" borderId="46" xfId="0" applyNumberFormat="1" applyFont="1" applyBorder="1" applyAlignment="1">
      <alignment horizontal="right"/>
    </xf>
    <xf numFmtId="200" fontId="2" fillId="0" borderId="46" xfId="0" applyNumberFormat="1" applyFont="1" applyBorder="1"/>
    <xf numFmtId="200" fontId="0" fillId="0" borderId="46" xfId="0" applyNumberFormat="1" applyBorder="1"/>
    <xf numFmtId="169" fontId="2" fillId="0" borderId="9" xfId="0" applyNumberFormat="1" applyFont="1" applyBorder="1" applyAlignment="1">
      <alignment horizontal="right"/>
    </xf>
    <xf numFmtId="169" fontId="2" fillId="0" borderId="0" xfId="0" applyNumberFormat="1" applyFont="1" applyAlignment="1">
      <alignment horizontal="left" vertical="top"/>
    </xf>
    <xf numFmtId="0" fontId="25" fillId="0" borderId="9" xfId="0" applyFont="1" applyBorder="1" applyAlignment="1">
      <alignment horizontal="centerContinuous"/>
    </xf>
    <xf numFmtId="0" fontId="24" fillId="0" borderId="9" xfId="0" applyFont="1" applyBorder="1" applyAlignment="1">
      <alignment horizontal="centerContinuous"/>
    </xf>
    <xf numFmtId="49" fontId="2" fillId="0" borderId="9" xfId="0" applyNumberFormat="1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169" fontId="9" fillId="0" borderId="0" xfId="0" applyNumberFormat="1" applyFont="1" applyAlignment="1" applyProtection="1">
      <protection locked="0"/>
    </xf>
    <xf numFmtId="169" fontId="9" fillId="0" borderId="0" xfId="0" applyNumberFormat="1" applyFont="1" applyAlignment="1" applyProtection="1">
      <alignment horizontal="right"/>
      <protection locked="0"/>
    </xf>
    <xf numFmtId="0" fontId="2" fillId="0" borderId="0" xfId="0" applyFont="1" applyAlignment="1" applyProtection="1">
      <alignment horizontal="right" vertical="center" textRotation="90"/>
      <protection locked="0"/>
    </xf>
  </cellXfs>
  <cellStyles count="2">
    <cellStyle name="Hyperlink" xfId="1" builtinId="8"/>
    <cellStyle name="Normal" xfId="0" builtinId="0"/>
  </cellStyles>
  <dxfs count="10"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</dxfs>
  <tableStyles count="0" defaultTableStyle="TableStyleMedium2" defaultPivotStyle="PivotStyleLight16"/>
  <colors>
    <mruColors>
      <color rgb="FF3271D2"/>
      <color rgb="FFFF7D31"/>
      <color rgb="FFED7D31"/>
      <color rgb="FFD9E1F2"/>
      <color rgb="FFD9F5FA"/>
      <color rgb="FF2563EB"/>
      <color rgb="FF0F172A"/>
      <color rgb="FF418AB3"/>
      <color rgb="FF0A1C3A"/>
      <color rgb="FFF1F5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214419291338583E-2"/>
          <c:y val="4.3137254901960784E-2"/>
          <c:w val="0.84135728346456695"/>
          <c:h val="0.817889003428889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'Executive Dashboard'!$AB$11</c:f>
              <c:strCache>
                <c:ptCount val="1"/>
                <c:pt idx="0">
                  <c:v>MRR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'Executive Dashboard'!$AF$7:$BC$7</c:f>
              <c:numCache>
                <c:formatCode>mmm_)</c:formatCode>
                <c:ptCount val="24"/>
                <c:pt idx="0">
                  <c:v>46053</c:v>
                </c:pt>
                <c:pt idx="1">
                  <c:v>46081</c:v>
                </c:pt>
                <c:pt idx="2">
                  <c:v>46112</c:v>
                </c:pt>
                <c:pt idx="3">
                  <c:v>46142</c:v>
                </c:pt>
                <c:pt idx="4">
                  <c:v>46173</c:v>
                </c:pt>
                <c:pt idx="5">
                  <c:v>46203</c:v>
                </c:pt>
                <c:pt idx="6">
                  <c:v>46234</c:v>
                </c:pt>
                <c:pt idx="7">
                  <c:v>46265</c:v>
                </c:pt>
                <c:pt idx="8">
                  <c:v>46295</c:v>
                </c:pt>
                <c:pt idx="9">
                  <c:v>46326</c:v>
                </c:pt>
                <c:pt idx="10">
                  <c:v>46356</c:v>
                </c:pt>
                <c:pt idx="11">
                  <c:v>46387</c:v>
                </c:pt>
                <c:pt idx="12">
                  <c:v>46418</c:v>
                </c:pt>
                <c:pt idx="13">
                  <c:v>46446</c:v>
                </c:pt>
                <c:pt idx="14">
                  <c:v>46477</c:v>
                </c:pt>
                <c:pt idx="15">
                  <c:v>46507</c:v>
                </c:pt>
                <c:pt idx="16">
                  <c:v>46538</c:v>
                </c:pt>
                <c:pt idx="17">
                  <c:v>46568</c:v>
                </c:pt>
                <c:pt idx="18">
                  <c:v>46599</c:v>
                </c:pt>
                <c:pt idx="19">
                  <c:v>46630</c:v>
                </c:pt>
                <c:pt idx="20">
                  <c:v>46660</c:v>
                </c:pt>
                <c:pt idx="21">
                  <c:v>46691</c:v>
                </c:pt>
                <c:pt idx="22">
                  <c:v>46721</c:v>
                </c:pt>
                <c:pt idx="23">
                  <c:v>46752</c:v>
                </c:pt>
              </c:numCache>
            </c:numRef>
          </c:cat>
          <c:val>
            <c:numRef>
              <c:f>'Executive Dashboard'!$AF$11:$BC$11</c:f>
              <c:numCache>
                <c:formatCode>_(#,##0_);\(#,##0\);_("–"_);_(@_)</c:formatCode>
                <c:ptCount val="24"/>
                <c:pt idx="0">
                  <c:v>913.22280000000001</c:v>
                </c:pt>
                <c:pt idx="1">
                  <c:v>933.64625105135997</c:v>
                </c:pt>
                <c:pt idx="2">
                  <c:v>953.82026075561885</c:v>
                </c:pt>
                <c:pt idx="3">
                  <c:v>973.79365938813044</c:v>
                </c:pt>
                <c:pt idx="4">
                  <c:v>993.61427473508866</c:v>
                </c:pt>
                <c:pt idx="5">
                  <c:v>1013.3290050308915</c:v>
                </c:pt>
                <c:pt idx="6">
                  <c:v>1032.9838901010589</c:v>
                </c:pt>
                <c:pt idx="7">
                  <c:v>1052.6241808129246</c:v>
                </c:pt>
                <c:pt idx="8">
                  <c:v>1072.294406933474</c:v>
                </c:pt>
                <c:pt idx="9">
                  <c:v>1092.0384434909899</c:v>
                </c:pt>
                <c:pt idx="10">
                  <c:v>1111.8995757346056</c:v>
                </c:pt>
                <c:pt idx="11">
                  <c:v>1131.920562783426</c:v>
                </c:pt>
                <c:pt idx="12">
                  <c:v>1157.5983540197676</c:v>
                </c:pt>
                <c:pt idx="13">
                  <c:v>1183.4761071675407</c:v>
                </c:pt>
                <c:pt idx="14">
                  <c:v>1209.5912542337499</c:v>
                </c:pt>
                <c:pt idx="15">
                  <c:v>1235.980861061965</c:v>
                </c:pt>
                <c:pt idx="16">
                  <c:v>1262.681675088038</c:v>
                </c:pt>
                <c:pt idx="17">
                  <c:v>1289.7301721268409</c:v>
                </c:pt>
                <c:pt idx="18">
                  <c:v>1317.1626022537782</c:v>
                </c:pt>
                <c:pt idx="19">
                  <c:v>1345.0150348430493</c:v>
                </c:pt>
                <c:pt idx="20">
                  <c:v>1373.3234028229492</c:v>
                </c:pt>
                <c:pt idx="21">
                  <c:v>1402.1235462068914</c:v>
                </c:pt>
                <c:pt idx="22">
                  <c:v>1431.4512549573267</c:v>
                </c:pt>
                <c:pt idx="23">
                  <c:v>1461.3423112382877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53-4294-888A-5182C4064A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-27"/>
        <c:axId val="1666164175"/>
        <c:axId val="1666165423"/>
      </c:barChart>
      <c:lineChart>
        <c:grouping val="standard"/>
        <c:varyColors val="0"/>
        <c:ser>
          <c:idx val="1"/>
          <c:order val="1"/>
          <c:tx>
            <c:strRef>
              <c:f>'Executive Dashboard'!$AB$12</c:f>
              <c:strCache>
                <c:ptCount val="1"/>
                <c:pt idx="0">
                  <c:v>MRR Growth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'Executive Dashboard'!$AF$12:$BC$12</c:f>
              <c:numCache>
                <c:formatCode>_(#,##0.0%_);\(#,##0.0%\);_("–"_)_%;_(@_)_%</c:formatCode>
                <c:ptCount val="24"/>
                <c:pt idx="0">
                  <c:v>2.3218823529411736E-2</c:v>
                </c:pt>
                <c:pt idx="1">
                  <c:v>2.2364149308755632E-2</c:v>
                </c:pt>
                <c:pt idx="2">
                  <c:v>2.1607765983681082E-2</c:v>
                </c:pt>
                <c:pt idx="3">
                  <c:v>2.094042185336753E-2</c:v>
                </c:pt>
                <c:pt idx="4">
                  <c:v>2.0354019720576266E-2</c:v>
                </c:pt>
                <c:pt idx="5">
                  <c:v>1.9841432230891742E-2</c:v>
                </c:pt>
                <c:pt idx="6">
                  <c:v>1.9396351009974611E-2</c:v>
                </c:pt>
                <c:pt idx="7">
                  <c:v>1.9013162644718751E-2</c:v>
                </c:pt>
                <c:pt idx="8">
                  <c:v>1.8686846149932101E-2</c:v>
                </c:pt>
                <c:pt idx="9">
                  <c:v>1.8412887757178087E-2</c:v>
                </c:pt>
                <c:pt idx="10">
                  <c:v>1.8187209765367029E-2</c:v>
                </c:pt>
                <c:pt idx="11">
                  <c:v>1.8006110880645965E-2</c:v>
                </c:pt>
                <c:pt idx="12">
                  <c:v>2.2685153075759246E-2</c:v>
                </c:pt>
                <c:pt idx="13">
                  <c:v>2.2354690690352452E-2</c:v>
                </c:pt>
                <c:pt idx="14">
                  <c:v>2.206647595844724E-2</c:v>
                </c:pt>
                <c:pt idx="15">
                  <c:v>2.1816962329917367E-2</c:v>
                </c:pt>
                <c:pt idx="16">
                  <c:v>2.1602934857042566E-2</c:v>
                </c:pt>
                <c:pt idx="17">
                  <c:v>2.1421469537773241E-2</c:v>
                </c:pt>
                <c:pt idx="18">
                  <c:v>2.1269898711991475E-2</c:v>
                </c:pt>
                <c:pt idx="19">
                  <c:v>2.1145781501549665E-2</c:v>
                </c:pt>
                <c:pt idx="20">
                  <c:v>2.1046878470918573E-2</c:v>
                </c:pt>
                <c:pt idx="21">
                  <c:v>2.0971129833469604E-2</c:v>
                </c:pt>
                <c:pt idx="22">
                  <c:v>2.0916636647158704E-2</c:v>
                </c:pt>
                <c:pt idx="23">
                  <c:v>2.0881644539025634E-2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53-4294-888A-5182C4064A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9278367"/>
        <c:axId val="1659275871"/>
      </c:lineChart>
      <c:dateAx>
        <c:axId val="16661641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/>
                  <a:t> 2026                                                                                                                                  2027                      </a:t>
                </a:r>
              </a:p>
            </c:rich>
          </c:tx>
          <c:layout>
            <c:manualLayout>
              <c:xMode val="edge"/>
              <c:yMode val="edge"/>
              <c:x val="7.6991267298957194E-2"/>
              <c:y val="0.922611405600443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165423"/>
        <c:crosses val="autoZero"/>
        <c:auto val="1"/>
        <c:lblOffset val="100"/>
        <c:baseTimeUnit val="months"/>
      </c:dateAx>
      <c:valAx>
        <c:axId val="1666165423"/>
        <c:scaling>
          <c:orientation val="minMax"/>
          <c:max val="2250"/>
          <c:min val="0"/>
        </c:scaling>
        <c:delete val="0"/>
        <c:axPos val="l"/>
        <c:numFmt formatCode="_(#,##0_);\(#,##0\);_(&quot;–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164175"/>
        <c:crosses val="autoZero"/>
        <c:crossBetween val="between"/>
        <c:majorUnit val="250"/>
        <c:minorUnit val="100"/>
      </c:valAx>
      <c:valAx>
        <c:axId val="1659275871"/>
        <c:scaling>
          <c:orientation val="minMax"/>
          <c:max val="7.0000000000000007E-2"/>
          <c:min val="0"/>
        </c:scaling>
        <c:delete val="0"/>
        <c:axPos val="r"/>
        <c:numFmt formatCode="_(#,##0.0%_);\(#,##0.0%\);_(&quot;–&quot;_)_%;_(@_)_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9278367"/>
        <c:crosses val="max"/>
        <c:crossBetween val="between"/>
        <c:majorUnit val="7.5000000000000023E-3"/>
      </c:valAx>
      <c:catAx>
        <c:axId val="1659278367"/>
        <c:scaling>
          <c:orientation val="minMax"/>
        </c:scaling>
        <c:delete val="1"/>
        <c:axPos val="b"/>
        <c:majorTickMark val="none"/>
        <c:minorTickMark val="none"/>
        <c:tickLblPos val="nextTo"/>
        <c:crossAx val="165927587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6119537401574803"/>
          <c:y val="6.71563995677011E-2"/>
          <c:w val="0.2817759186351706"/>
          <c:h val="6.61769337656322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214419291338583E-2"/>
          <c:y val="4.3137254901960784E-2"/>
          <c:w val="0.84135728346456695"/>
          <c:h val="0.817889003428889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'Executive Dashboard'!$AB$13</c:f>
              <c:strCache>
                <c:ptCount val="1"/>
                <c:pt idx="0">
                  <c:v>ARR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'Executive Dashboard'!$AF$7:$BC$7</c:f>
              <c:numCache>
                <c:formatCode>mmm_)</c:formatCode>
                <c:ptCount val="24"/>
                <c:pt idx="0">
                  <c:v>46053</c:v>
                </c:pt>
                <c:pt idx="1">
                  <c:v>46081</c:v>
                </c:pt>
                <c:pt idx="2">
                  <c:v>46112</c:v>
                </c:pt>
                <c:pt idx="3">
                  <c:v>46142</c:v>
                </c:pt>
                <c:pt idx="4">
                  <c:v>46173</c:v>
                </c:pt>
                <c:pt idx="5">
                  <c:v>46203</c:v>
                </c:pt>
                <c:pt idx="6">
                  <c:v>46234</c:v>
                </c:pt>
                <c:pt idx="7">
                  <c:v>46265</c:v>
                </c:pt>
                <c:pt idx="8">
                  <c:v>46295</c:v>
                </c:pt>
                <c:pt idx="9">
                  <c:v>46326</c:v>
                </c:pt>
                <c:pt idx="10">
                  <c:v>46356</c:v>
                </c:pt>
                <c:pt idx="11">
                  <c:v>46387</c:v>
                </c:pt>
                <c:pt idx="12">
                  <c:v>46418</c:v>
                </c:pt>
                <c:pt idx="13">
                  <c:v>46446</c:v>
                </c:pt>
                <c:pt idx="14">
                  <c:v>46477</c:v>
                </c:pt>
                <c:pt idx="15">
                  <c:v>46507</c:v>
                </c:pt>
                <c:pt idx="16">
                  <c:v>46538</c:v>
                </c:pt>
                <c:pt idx="17">
                  <c:v>46568</c:v>
                </c:pt>
                <c:pt idx="18">
                  <c:v>46599</c:v>
                </c:pt>
                <c:pt idx="19">
                  <c:v>46630</c:v>
                </c:pt>
                <c:pt idx="20">
                  <c:v>46660</c:v>
                </c:pt>
                <c:pt idx="21">
                  <c:v>46691</c:v>
                </c:pt>
                <c:pt idx="22">
                  <c:v>46721</c:v>
                </c:pt>
                <c:pt idx="23">
                  <c:v>46752</c:v>
                </c:pt>
              </c:numCache>
            </c:numRef>
          </c:cat>
          <c:val>
            <c:numRef>
              <c:f>'Executive Dashboard'!$AF$13:$BC$13</c:f>
              <c:numCache>
                <c:formatCode>_(#,##0_);\(#,##0\);_("–"_);_(@_)</c:formatCode>
                <c:ptCount val="24"/>
                <c:pt idx="0">
                  <c:v>10958.6736</c:v>
                </c:pt>
                <c:pt idx="1">
                  <c:v>11203.755012616321</c:v>
                </c:pt>
                <c:pt idx="2">
                  <c:v>11445.843129067427</c:v>
                </c:pt>
                <c:pt idx="3">
                  <c:v>11685.523912657565</c:v>
                </c:pt>
                <c:pt idx="4">
                  <c:v>11923.371296821064</c:v>
                </c:pt>
                <c:pt idx="5">
                  <c:v>12159.948060370698</c:v>
                </c:pt>
                <c:pt idx="6">
                  <c:v>12395.806681212705</c:v>
                </c:pt>
                <c:pt idx="7">
                  <c:v>12631.490169755094</c:v>
                </c:pt>
                <c:pt idx="8">
                  <c:v>12867.532883201688</c:v>
                </c:pt>
                <c:pt idx="9">
                  <c:v>13104.461321891878</c:v>
                </c:pt>
                <c:pt idx="10">
                  <c:v>13342.794908815267</c:v>
                </c:pt>
                <c:pt idx="11">
                  <c:v>13583.046753401115</c:v>
                </c:pt>
                <c:pt idx="12">
                  <c:v>13891.180248237215</c:v>
                </c:pt>
                <c:pt idx="13">
                  <c:v>14201.713286010492</c:v>
                </c:pt>
                <c:pt idx="14">
                  <c:v>14515.095050805003</c:v>
                </c:pt>
                <c:pt idx="15">
                  <c:v>14831.770332743587</c:v>
                </c:pt>
                <c:pt idx="16">
                  <c:v>15152.180101056463</c:v>
                </c:pt>
                <c:pt idx="17">
                  <c:v>15476.762065522098</c:v>
                </c:pt>
                <c:pt idx="18">
                  <c:v>15805.951227045345</c:v>
                </c:pt>
                <c:pt idx="19">
                  <c:v>16140.180418116599</c:v>
                </c:pt>
                <c:pt idx="20">
                  <c:v>16479.880833875395</c:v>
                </c:pt>
                <c:pt idx="21">
                  <c:v>16825.482554482704</c:v>
                </c:pt>
                <c:pt idx="22">
                  <c:v>17177.415059487928</c:v>
                </c:pt>
                <c:pt idx="23">
                  <c:v>17536.107734859459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F4-47F5-A7C7-FAC241FA2D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-27"/>
        <c:axId val="1666164175"/>
        <c:axId val="1666165423"/>
      </c:barChart>
      <c:lineChart>
        <c:grouping val="standard"/>
        <c:varyColors val="0"/>
        <c:ser>
          <c:idx val="1"/>
          <c:order val="1"/>
          <c:tx>
            <c:strRef>
              <c:f>'Executive Dashboard'!$AB$14</c:f>
              <c:strCache>
                <c:ptCount val="1"/>
                <c:pt idx="0">
                  <c:v>ARR Growth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'Executive Dashboard'!$AF$7:$BC$7</c:f>
              <c:numCache>
                <c:formatCode>mmm_)</c:formatCode>
                <c:ptCount val="24"/>
                <c:pt idx="0">
                  <c:v>46053</c:v>
                </c:pt>
                <c:pt idx="1">
                  <c:v>46081</c:v>
                </c:pt>
                <c:pt idx="2">
                  <c:v>46112</c:v>
                </c:pt>
                <c:pt idx="3">
                  <c:v>46142</c:v>
                </c:pt>
                <c:pt idx="4">
                  <c:v>46173</c:v>
                </c:pt>
                <c:pt idx="5">
                  <c:v>46203</c:v>
                </c:pt>
                <c:pt idx="6">
                  <c:v>46234</c:v>
                </c:pt>
                <c:pt idx="7">
                  <c:v>46265</c:v>
                </c:pt>
                <c:pt idx="8">
                  <c:v>46295</c:v>
                </c:pt>
                <c:pt idx="9">
                  <c:v>46326</c:v>
                </c:pt>
                <c:pt idx="10">
                  <c:v>46356</c:v>
                </c:pt>
                <c:pt idx="11">
                  <c:v>46387</c:v>
                </c:pt>
                <c:pt idx="12">
                  <c:v>46418</c:v>
                </c:pt>
                <c:pt idx="13">
                  <c:v>46446</c:v>
                </c:pt>
                <c:pt idx="14">
                  <c:v>46477</c:v>
                </c:pt>
                <c:pt idx="15">
                  <c:v>46507</c:v>
                </c:pt>
                <c:pt idx="16">
                  <c:v>46538</c:v>
                </c:pt>
                <c:pt idx="17">
                  <c:v>46568</c:v>
                </c:pt>
                <c:pt idx="18">
                  <c:v>46599</c:v>
                </c:pt>
                <c:pt idx="19">
                  <c:v>46630</c:v>
                </c:pt>
                <c:pt idx="20">
                  <c:v>46660</c:v>
                </c:pt>
                <c:pt idx="21">
                  <c:v>46691</c:v>
                </c:pt>
                <c:pt idx="22">
                  <c:v>46721</c:v>
                </c:pt>
                <c:pt idx="23">
                  <c:v>46752</c:v>
                </c:pt>
              </c:numCache>
            </c:numRef>
          </c:cat>
          <c:val>
            <c:numRef>
              <c:f>'Executive Dashboard'!$AF$14:$BC$14</c:f>
              <c:numCache>
                <c:formatCode>_(#,##0.0%_);\(#,##0.0%\);_("–"_)_%;_(@_)_%</c:formatCode>
                <c:ptCount val="24"/>
                <c:pt idx="0">
                  <c:v>2.3218823529411736E-2</c:v>
                </c:pt>
                <c:pt idx="1">
                  <c:v>2.2364149308755854E-2</c:v>
                </c:pt>
                <c:pt idx="2">
                  <c:v>2.1607765983681082E-2</c:v>
                </c:pt>
                <c:pt idx="3">
                  <c:v>2.0940421853367308E-2</c:v>
                </c:pt>
                <c:pt idx="4">
                  <c:v>2.0354019720576266E-2</c:v>
                </c:pt>
                <c:pt idx="5">
                  <c:v>1.9841432230891742E-2</c:v>
                </c:pt>
                <c:pt idx="6">
                  <c:v>1.9396351009974389E-2</c:v>
                </c:pt>
                <c:pt idx="7">
                  <c:v>1.9013162644718751E-2</c:v>
                </c:pt>
                <c:pt idx="8">
                  <c:v>1.8686846149932101E-2</c:v>
                </c:pt>
                <c:pt idx="9">
                  <c:v>1.8412887757178087E-2</c:v>
                </c:pt>
                <c:pt idx="10">
                  <c:v>1.8187209765367252E-2</c:v>
                </c:pt>
                <c:pt idx="11">
                  <c:v>1.8006110880646187E-2</c:v>
                </c:pt>
                <c:pt idx="12">
                  <c:v>2.2685153075759246E-2</c:v>
                </c:pt>
                <c:pt idx="13">
                  <c:v>2.2354690690352452E-2</c:v>
                </c:pt>
                <c:pt idx="14">
                  <c:v>2.206647595844724E-2</c:v>
                </c:pt>
                <c:pt idx="15">
                  <c:v>2.1816962329917367E-2</c:v>
                </c:pt>
                <c:pt idx="16">
                  <c:v>2.1602934857042566E-2</c:v>
                </c:pt>
                <c:pt idx="17">
                  <c:v>2.1421469537773241E-2</c:v>
                </c:pt>
                <c:pt idx="18">
                  <c:v>2.1269898711991475E-2</c:v>
                </c:pt>
                <c:pt idx="19">
                  <c:v>2.1145781501549887E-2</c:v>
                </c:pt>
                <c:pt idx="20">
                  <c:v>2.1046878470918351E-2</c:v>
                </c:pt>
                <c:pt idx="21">
                  <c:v>2.0971129833469604E-2</c:v>
                </c:pt>
                <c:pt idx="22">
                  <c:v>2.0916636647158926E-2</c:v>
                </c:pt>
                <c:pt idx="23">
                  <c:v>2.0881644539025412E-2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F4-47F5-A7C7-FAC241FA2D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9278367"/>
        <c:axId val="1659275871"/>
      </c:lineChart>
      <c:dateAx>
        <c:axId val="16661641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/>
                  <a:t> 2026                                                                                                                             2027                      </a:t>
                </a:r>
              </a:p>
            </c:rich>
          </c:tx>
          <c:layout>
            <c:manualLayout>
              <c:xMode val="edge"/>
              <c:yMode val="edge"/>
              <c:x val="7.8666666666666663E-2"/>
              <c:y val="0.925516343883198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165423"/>
        <c:crosses val="autoZero"/>
        <c:auto val="1"/>
        <c:lblOffset val="100"/>
        <c:baseTimeUnit val="months"/>
      </c:dateAx>
      <c:valAx>
        <c:axId val="1666165423"/>
        <c:scaling>
          <c:orientation val="minMax"/>
          <c:max val="26000"/>
          <c:min val="0"/>
        </c:scaling>
        <c:delete val="0"/>
        <c:axPos val="l"/>
        <c:numFmt formatCode="_(#,##0_);\(#,##0\);_(&quot;–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164175"/>
        <c:crosses val="autoZero"/>
        <c:crossBetween val="between"/>
        <c:majorUnit val="2500"/>
        <c:minorUnit val="100"/>
      </c:valAx>
      <c:valAx>
        <c:axId val="1659275871"/>
        <c:scaling>
          <c:orientation val="minMax"/>
          <c:max val="7.0000000000000007E-2"/>
          <c:min val="0"/>
        </c:scaling>
        <c:delete val="0"/>
        <c:axPos val="r"/>
        <c:numFmt formatCode="_(#,##0.0%_);\(#,##0.0%\);_(&quot;–&quot;_)_%;_(@_)_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9278367"/>
        <c:crosses val="max"/>
        <c:crossBetween val="between"/>
        <c:majorUnit val="7.5000000000000023E-3"/>
      </c:valAx>
      <c:dateAx>
        <c:axId val="1659278367"/>
        <c:scaling>
          <c:orientation val="minMax"/>
        </c:scaling>
        <c:delete val="1"/>
        <c:axPos val="b"/>
        <c:numFmt formatCode="mmm_)" sourceLinked="1"/>
        <c:majorTickMark val="none"/>
        <c:minorTickMark val="none"/>
        <c:tickLblPos val="nextTo"/>
        <c:crossAx val="165927587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6119537401574803"/>
          <c:y val="6.71563995677011E-2"/>
          <c:w val="0.2817759186351706"/>
          <c:h val="6.61769337656322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088363954505687E-2"/>
          <c:y val="3.4422657952069717E-2"/>
          <c:w val="0.86427397747156609"/>
          <c:h val="0.8236986716529716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'Executive Dashboard'!$AB$79</c:f>
              <c:strCache>
                <c:ptCount val="1"/>
                <c:pt idx="0">
                  <c:v>Net Customer Adds</c:v>
                </c:pt>
              </c:strCache>
            </c:strRef>
          </c:tx>
          <c:spPr>
            <a:solidFill>
              <a:srgbClr val="0A1C3A"/>
            </a:solidFill>
            <a:ln>
              <a:solidFill>
                <a:srgbClr val="0A1C3A"/>
              </a:solidFill>
            </a:ln>
            <a:effectLst/>
          </c:spPr>
          <c:invertIfNegative val="0"/>
          <c:cat>
            <c:numRef>
              <c:f>'Executive Dashboard'!$AF$7:$BC$7</c:f>
              <c:numCache>
                <c:formatCode>mmm_)</c:formatCode>
                <c:ptCount val="24"/>
                <c:pt idx="0">
                  <c:v>46053</c:v>
                </c:pt>
                <c:pt idx="1">
                  <c:v>46081</c:v>
                </c:pt>
                <c:pt idx="2">
                  <c:v>46112</c:v>
                </c:pt>
                <c:pt idx="3">
                  <c:v>46142</c:v>
                </c:pt>
                <c:pt idx="4">
                  <c:v>46173</c:v>
                </c:pt>
                <c:pt idx="5">
                  <c:v>46203</c:v>
                </c:pt>
                <c:pt idx="6">
                  <c:v>46234</c:v>
                </c:pt>
                <c:pt idx="7">
                  <c:v>46265</c:v>
                </c:pt>
                <c:pt idx="8">
                  <c:v>46295</c:v>
                </c:pt>
                <c:pt idx="9">
                  <c:v>46326</c:v>
                </c:pt>
                <c:pt idx="10">
                  <c:v>46356</c:v>
                </c:pt>
                <c:pt idx="11">
                  <c:v>46387</c:v>
                </c:pt>
                <c:pt idx="12">
                  <c:v>46418</c:v>
                </c:pt>
                <c:pt idx="13">
                  <c:v>46446</c:v>
                </c:pt>
                <c:pt idx="14">
                  <c:v>46477</c:v>
                </c:pt>
                <c:pt idx="15">
                  <c:v>46507</c:v>
                </c:pt>
                <c:pt idx="16">
                  <c:v>46538</c:v>
                </c:pt>
                <c:pt idx="17">
                  <c:v>46568</c:v>
                </c:pt>
                <c:pt idx="18">
                  <c:v>46599</c:v>
                </c:pt>
                <c:pt idx="19">
                  <c:v>46630</c:v>
                </c:pt>
                <c:pt idx="20">
                  <c:v>46660</c:v>
                </c:pt>
                <c:pt idx="21">
                  <c:v>46691</c:v>
                </c:pt>
                <c:pt idx="22">
                  <c:v>46721</c:v>
                </c:pt>
                <c:pt idx="23">
                  <c:v>46752</c:v>
                </c:pt>
              </c:numCache>
            </c:numRef>
          </c:cat>
          <c:val>
            <c:numRef>
              <c:f>'Executive Dashboard'!$AF$79:$BC$79</c:f>
              <c:numCache>
                <c:formatCode>_(#,##0_);\(#,##0\);_("–"_);_(@_)</c:formatCode>
                <c:ptCount val="24"/>
                <c:pt idx="0">
                  <c:v>18</c:v>
                </c:pt>
                <c:pt idx="1">
                  <c:v>17.640799999999999</c:v>
                </c:pt>
                <c:pt idx="2">
                  <c:v>17.330775999999997</c:v>
                </c:pt>
                <c:pt idx="3">
                  <c:v>17.068525520000005</c:v>
                </c:pt>
                <c:pt idx="4">
                  <c:v>16.852728709600008</c:v>
                </c:pt>
                <c:pt idx="5">
                  <c:v>16.682145646856011</c:v>
                </c:pt>
                <c:pt idx="6">
                  <c:v>16.555613767140414</c:v>
                </c:pt>
                <c:pt idx="7">
                  <c:v>16.472045417388642</c:v>
                </c:pt>
                <c:pt idx="8">
                  <c:v>16.430425531317599</c:v>
                </c:pt>
                <c:pt idx="9">
                  <c:v>16.429809421397536</c:v>
                </c:pt>
                <c:pt idx="10">
                  <c:v>16.469320683547842</c:v>
                </c:pt>
                <c:pt idx="11">
                  <c:v>16.548149210709255</c:v>
                </c:pt>
                <c:pt idx="12">
                  <c:v>20.65626779692457</c:v>
                </c:pt>
                <c:pt idx="13">
                  <c:v>20.708102802215429</c:v>
                </c:pt>
                <c:pt idx="14">
                  <c:v>20.793383723986288</c:v>
                </c:pt>
                <c:pt idx="15">
                  <c:v>20.911368923865631</c:v>
                </c:pt>
                <c:pt idx="16">
                  <c:v>21.061368584268433</c:v>
                </c:pt>
                <c:pt idx="17">
                  <c:v>21.242742975017453</c:v>
                </c:pt>
                <c:pt idx="18">
                  <c:v>21.454900805170588</c:v>
                </c:pt>
                <c:pt idx="19">
                  <c:v>21.697297656761645</c:v>
                </c:pt>
                <c:pt idx="20">
                  <c:v>21.969434497308157</c:v>
                </c:pt>
                <c:pt idx="21">
                  <c:v>22.270856268079491</c:v>
                </c:pt>
                <c:pt idx="22">
                  <c:v>22.601150545252864</c:v>
                </c:pt>
                <c:pt idx="23">
                  <c:v>22.959946271213642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F8-49CF-B16B-D386E157A2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-27"/>
        <c:axId val="1666164175"/>
        <c:axId val="1666165423"/>
      </c:barChart>
      <c:lineChart>
        <c:grouping val="standard"/>
        <c:varyColors val="0"/>
        <c:ser>
          <c:idx val="1"/>
          <c:order val="1"/>
          <c:tx>
            <c:strRef>
              <c:f>'Executive Dashboard'!$AB$80</c:f>
              <c:strCache>
                <c:ptCount val="1"/>
                <c:pt idx="0">
                  <c:v>Customer Growth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'Executive Dashboard'!$AF$80:$BC$80</c:f>
              <c:numCache>
                <c:formatCode>_(#,##0.0%_);\(#,##0.0%\);_("–"_)_%;_(@_)_%</c:formatCode>
                <c:ptCount val="24"/>
                <c:pt idx="0">
                  <c:v>2.1176470588235352E-2</c:v>
                </c:pt>
                <c:pt idx="1">
                  <c:v>2.0323502304147478E-2</c:v>
                </c:pt>
                <c:pt idx="2">
                  <c:v>1.9568628726228443E-2</c:v>
                </c:pt>
                <c:pt idx="3">
                  <c:v>1.8902616620127155E-2</c:v>
                </c:pt>
                <c:pt idx="4">
                  <c:v>1.8317384950675031E-2</c:v>
                </c:pt>
                <c:pt idx="5">
                  <c:v>1.7805820589712251E-2</c:v>
                </c:pt>
                <c:pt idx="6">
                  <c:v>1.7361627754465481E-2</c:v>
                </c:pt>
                <c:pt idx="7">
                  <c:v>1.6979204236246437E-2</c:v>
                </c:pt>
                <c:pt idx="8">
                  <c:v>1.665353907178857E-2</c:v>
                </c:pt>
                <c:pt idx="9">
                  <c:v>1.6380127502173769E-2</c:v>
                </c:pt>
                <c:pt idx="10">
                  <c:v>1.6154899965436398E-2</c:v>
                </c:pt>
                <c:pt idx="11">
                  <c:v>1.5974162555534965E-2</c:v>
                </c:pt>
                <c:pt idx="12">
                  <c:v>1.9626274253000231E-2</c:v>
                </c:pt>
                <c:pt idx="13">
                  <c:v>1.9296800289483773E-2</c:v>
                </c:pt>
                <c:pt idx="14">
                  <c:v>1.9009447615600417E-2</c:v>
                </c:pt>
                <c:pt idx="15">
                  <c:v>1.8760680289050313E-2</c:v>
                </c:pt>
                <c:pt idx="16">
                  <c:v>1.854729297810831E-2</c:v>
                </c:pt>
                <c:pt idx="17">
                  <c:v>1.8366370426493583E-2</c:v>
                </c:pt>
                <c:pt idx="18">
                  <c:v>1.8215252953132088E-2</c:v>
                </c:pt>
                <c:pt idx="19">
                  <c:v>1.8091506980608019E-2</c:v>
                </c:pt>
                <c:pt idx="20">
                  <c:v>1.7992899771603676E-2</c:v>
                </c:pt>
                <c:pt idx="21">
                  <c:v>1.7917377700368275E-2</c:v>
                </c:pt>
                <c:pt idx="22">
                  <c:v>1.7863047504644847E-2</c:v>
                </c:pt>
                <c:pt idx="23">
                  <c:v>1.7828160058849019E-2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F8-49CF-B16B-D386E157A2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081599"/>
        <c:axId val="159085343"/>
      </c:lineChart>
      <c:dateAx>
        <c:axId val="16661641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/>
                  <a:t>2026                    </a:t>
                </a:r>
                <a:r>
                  <a:rPr lang="en-US" sz="800" baseline="0"/>
                  <a:t>  </a:t>
                </a:r>
                <a:r>
                  <a:rPr lang="en-US" sz="800"/>
                  <a:t>                                                                                                               2027                      </a:t>
                </a:r>
              </a:p>
            </c:rich>
          </c:tx>
          <c:layout>
            <c:manualLayout>
              <c:xMode val="edge"/>
              <c:yMode val="edge"/>
              <c:x val="5.9165261773008855E-2"/>
              <c:y val="0.9218023890804498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165423"/>
        <c:crosses val="autoZero"/>
        <c:auto val="1"/>
        <c:lblOffset val="100"/>
        <c:baseTimeUnit val="months"/>
      </c:dateAx>
      <c:valAx>
        <c:axId val="1666165423"/>
        <c:scaling>
          <c:orientation val="minMax"/>
          <c:max val="52"/>
          <c:min val="0"/>
        </c:scaling>
        <c:delete val="0"/>
        <c:axPos val="l"/>
        <c:numFmt formatCode="_(#,##0_);\(#,##0\);_(&quot;–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164175"/>
        <c:crosses val="autoZero"/>
        <c:crossBetween val="between"/>
        <c:majorUnit val="5"/>
      </c:valAx>
      <c:valAx>
        <c:axId val="159085343"/>
        <c:scaling>
          <c:orientation val="minMax"/>
          <c:max val="4.5000000000000012E-2"/>
          <c:min val="0"/>
        </c:scaling>
        <c:delete val="0"/>
        <c:axPos val="r"/>
        <c:numFmt formatCode="_(#,##0.0%_);\(#,##0.0%\);_(&quot;–&quot;_)_%;_(@_)_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081599"/>
        <c:crosses val="max"/>
        <c:crossBetween val="between"/>
      </c:valAx>
      <c:catAx>
        <c:axId val="159081599"/>
        <c:scaling>
          <c:orientation val="minMax"/>
        </c:scaling>
        <c:delete val="1"/>
        <c:axPos val="b"/>
        <c:majorTickMark val="out"/>
        <c:minorTickMark val="none"/>
        <c:tickLblPos val="nextTo"/>
        <c:crossAx val="15908534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FY2026</a:t>
            </a:r>
          </a:p>
        </c:rich>
      </c:tx>
      <c:layout>
        <c:manualLayout>
          <c:xMode val="edge"/>
          <c:yMode val="edge"/>
          <c:x val="0.4403125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4809027777777777E-2"/>
          <c:y val="5.7609038000684697E-2"/>
          <c:w val="0.93769972112860889"/>
          <c:h val="0.8780481570238503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'Executive Dashboard'!$AB$21</c:f>
              <c:strCache>
                <c:ptCount val="1"/>
                <c:pt idx="0">
                  <c:v>New MRR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'Executive Dashboard'!$AF$7:$AQ$7</c:f>
              <c:numCache>
                <c:formatCode>mmm_)</c:formatCode>
                <c:ptCount val="12"/>
                <c:pt idx="0">
                  <c:v>46053</c:v>
                </c:pt>
                <c:pt idx="1">
                  <c:v>46081</c:v>
                </c:pt>
                <c:pt idx="2">
                  <c:v>46112</c:v>
                </c:pt>
                <c:pt idx="3">
                  <c:v>46142</c:v>
                </c:pt>
                <c:pt idx="4">
                  <c:v>46173</c:v>
                </c:pt>
                <c:pt idx="5">
                  <c:v>46203</c:v>
                </c:pt>
                <c:pt idx="6">
                  <c:v>46234</c:v>
                </c:pt>
                <c:pt idx="7">
                  <c:v>46265</c:v>
                </c:pt>
                <c:pt idx="8">
                  <c:v>46295</c:v>
                </c:pt>
                <c:pt idx="9">
                  <c:v>46326</c:v>
                </c:pt>
                <c:pt idx="10">
                  <c:v>46356</c:v>
                </c:pt>
                <c:pt idx="11">
                  <c:v>46387</c:v>
                </c:pt>
              </c:numCache>
            </c:numRef>
          </c:cat>
          <c:val>
            <c:numRef>
              <c:f>'Executive Dashboard'!$AF$21:$AQ$21</c:f>
              <c:numCache>
                <c:formatCode>_(#,##0_);\(#,##0\);_("–"_);_(@_)</c:formatCode>
                <c:ptCount val="12"/>
                <c:pt idx="0">
                  <c:v>36.75</c:v>
                </c:pt>
                <c:pt idx="1">
                  <c:v>36.824341679999996</c:v>
                </c:pt>
                <c:pt idx="2">
                  <c:v>36.943101869486398</c:v>
                </c:pt>
                <c:pt idx="3">
                  <c:v>37.106103928685542</c:v>
                </c:pt>
                <c:pt idx="4">
                  <c:v>37.313226509301543</c:v>
                </c:pt>
                <c:pt idx="5">
                  <c:v>37.564403006011837</c:v>
                </c:pt>
                <c:pt idx="6">
                  <c:v>37.859621078767027</c:v>
                </c:pt>
                <c:pt idx="7">
                  <c:v>38.19892224479922</c:v>
                </c:pt>
                <c:pt idx="8">
                  <c:v>38.582401539335883</c:v>
                </c:pt>
                <c:pt idx="9">
                  <c:v>39.010207244107619</c:v>
                </c:pt>
                <c:pt idx="10">
                  <c:v>39.48254068282742</c:v>
                </c:pt>
                <c:pt idx="11">
                  <c:v>39.99965608290703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95-4D47-B327-5F802DC90A9A}"/>
            </c:ext>
          </c:extLst>
        </c:ser>
        <c:ser>
          <c:idx val="1"/>
          <c:order val="1"/>
          <c:tx>
            <c:strRef>
              <c:f>'Executive Dashboard'!$AB$22</c:f>
              <c:strCache>
                <c:ptCount val="1"/>
                <c:pt idx="0">
                  <c:v>Lost MRR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'Executive Dashboard'!$AF$7:$AQ$7</c:f>
              <c:numCache>
                <c:formatCode>mmm_)</c:formatCode>
                <c:ptCount val="12"/>
                <c:pt idx="0">
                  <c:v>46053</c:v>
                </c:pt>
                <c:pt idx="1">
                  <c:v>46081</c:v>
                </c:pt>
                <c:pt idx="2">
                  <c:v>46112</c:v>
                </c:pt>
                <c:pt idx="3">
                  <c:v>46142</c:v>
                </c:pt>
                <c:pt idx="4">
                  <c:v>46173</c:v>
                </c:pt>
                <c:pt idx="5">
                  <c:v>46203</c:v>
                </c:pt>
                <c:pt idx="6">
                  <c:v>46234</c:v>
                </c:pt>
                <c:pt idx="7">
                  <c:v>46265</c:v>
                </c:pt>
                <c:pt idx="8">
                  <c:v>46295</c:v>
                </c:pt>
                <c:pt idx="9">
                  <c:v>46326</c:v>
                </c:pt>
                <c:pt idx="10">
                  <c:v>46356</c:v>
                </c:pt>
                <c:pt idx="11">
                  <c:v>46387</c:v>
                </c:pt>
              </c:numCache>
            </c:numRef>
          </c:cat>
          <c:val>
            <c:numRef>
              <c:f>'Executive Dashboard'!$AF$22:$AQ$22</c:f>
              <c:numCache>
                <c:formatCode>_(#,##0_);\(#,##0\);_("–"_);_(@_)</c:formatCode>
                <c:ptCount val="12"/>
                <c:pt idx="0">
                  <c:v>-17.850000000000001</c:v>
                </c:pt>
                <c:pt idx="1">
                  <c:v>-18.264455999999999</c:v>
                </c:pt>
                <c:pt idx="2">
                  <c:v>-18.672925021027197</c:v>
                </c:pt>
                <c:pt idx="3">
                  <c:v>-19.076405215112374</c:v>
                </c:pt>
                <c:pt idx="4">
                  <c:v>-19.475873187762609</c:v>
                </c:pt>
                <c:pt idx="5">
                  <c:v>-19.872285494701774</c:v>
                </c:pt>
                <c:pt idx="6">
                  <c:v>-20.266580100617826</c:v>
                </c:pt>
                <c:pt idx="7">
                  <c:v>-20.659677802021179</c:v>
                </c:pt>
                <c:pt idx="8">
                  <c:v>-21.052483616258492</c:v>
                </c:pt>
                <c:pt idx="9">
                  <c:v>-21.445888138669478</c:v>
                </c:pt>
                <c:pt idx="10">
                  <c:v>-21.840768869819797</c:v>
                </c:pt>
                <c:pt idx="11">
                  <c:v>-22.237991514692112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95-4D47-B327-5F802DC90A9A}"/>
            </c:ext>
          </c:extLst>
        </c:ser>
        <c:ser>
          <c:idx val="2"/>
          <c:order val="2"/>
          <c:tx>
            <c:strRef>
              <c:f>'Executive Dashboard'!$AB$23</c:f>
              <c:strCache>
                <c:ptCount val="1"/>
                <c:pt idx="0">
                  <c:v>Net New MRR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'Executive Dashboard'!$AF$7:$AQ$7</c:f>
              <c:numCache>
                <c:formatCode>mmm_)</c:formatCode>
                <c:ptCount val="12"/>
                <c:pt idx="0">
                  <c:v>46053</c:v>
                </c:pt>
                <c:pt idx="1">
                  <c:v>46081</c:v>
                </c:pt>
                <c:pt idx="2">
                  <c:v>46112</c:v>
                </c:pt>
                <c:pt idx="3">
                  <c:v>46142</c:v>
                </c:pt>
                <c:pt idx="4">
                  <c:v>46173</c:v>
                </c:pt>
                <c:pt idx="5">
                  <c:v>46203</c:v>
                </c:pt>
                <c:pt idx="6">
                  <c:v>46234</c:v>
                </c:pt>
                <c:pt idx="7">
                  <c:v>46265</c:v>
                </c:pt>
                <c:pt idx="8">
                  <c:v>46295</c:v>
                </c:pt>
                <c:pt idx="9">
                  <c:v>46326</c:v>
                </c:pt>
                <c:pt idx="10">
                  <c:v>46356</c:v>
                </c:pt>
                <c:pt idx="11">
                  <c:v>46387</c:v>
                </c:pt>
              </c:numCache>
            </c:numRef>
          </c:cat>
          <c:val>
            <c:numRef>
              <c:f>'Executive Dashboard'!$AF$23:$AQ$23</c:f>
              <c:numCache>
                <c:formatCode>_(#,##0_);\(#,##0\);_("–"_);_(@_)</c:formatCode>
                <c:ptCount val="12"/>
                <c:pt idx="0">
                  <c:v>18.899999999999999</c:v>
                </c:pt>
                <c:pt idx="1">
                  <c:v>18.559885679999997</c:v>
                </c:pt>
                <c:pt idx="2">
                  <c:v>18.270176848459201</c:v>
                </c:pt>
                <c:pt idx="3">
                  <c:v>18.029698713573168</c:v>
                </c:pt>
                <c:pt idx="4">
                  <c:v>17.837353321538934</c:v>
                </c:pt>
                <c:pt idx="5">
                  <c:v>17.692117511310062</c:v>
                </c:pt>
                <c:pt idx="6">
                  <c:v>17.593040978149201</c:v>
                </c:pt>
                <c:pt idx="7">
                  <c:v>17.539244442778042</c:v>
                </c:pt>
                <c:pt idx="8">
                  <c:v>17.529917923077392</c:v>
                </c:pt>
                <c:pt idx="9">
                  <c:v>17.564319105438141</c:v>
                </c:pt>
                <c:pt idx="10">
                  <c:v>17.641771813007622</c:v>
                </c:pt>
                <c:pt idx="11">
                  <c:v>17.761664568214918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895-4D47-B327-5F802DC90A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12134623"/>
        <c:axId val="712125055"/>
      </c:barChart>
      <c:dateAx>
        <c:axId val="712134623"/>
        <c:scaling>
          <c:orientation val="minMax"/>
        </c:scaling>
        <c:delete val="0"/>
        <c:axPos val="l"/>
        <c:numFmt formatCode="mmm_)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125055"/>
        <c:crosses val="autoZero"/>
        <c:auto val="1"/>
        <c:lblOffset val="100"/>
        <c:baseTimeUnit val="months"/>
      </c:dateAx>
      <c:valAx>
        <c:axId val="712125055"/>
        <c:scaling>
          <c:orientation val="minMax"/>
        </c:scaling>
        <c:delete val="1"/>
        <c:axPos val="b"/>
        <c:numFmt formatCode="_(#,##0_);\(#,##0\);_(&quot;–&quot;_);_(@_)" sourceLinked="1"/>
        <c:majorTickMark val="none"/>
        <c:minorTickMark val="none"/>
        <c:tickLblPos val="nextTo"/>
        <c:crossAx val="712134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FY2027</a:t>
            </a:r>
          </a:p>
        </c:rich>
      </c:tx>
      <c:layout>
        <c:manualLayout>
          <c:xMode val="edge"/>
          <c:yMode val="edge"/>
          <c:x val="0.4403125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4809027777777777E-2"/>
          <c:y val="5.7609038000684697E-2"/>
          <c:w val="0.93769972112860889"/>
          <c:h val="0.8780481570238503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'Executive Dashboard'!$AB$21</c:f>
              <c:strCache>
                <c:ptCount val="1"/>
                <c:pt idx="0">
                  <c:v>New MRR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'Executive Dashboard'!$AF$7:$AQ$7</c:f>
              <c:numCache>
                <c:formatCode>mmm_)</c:formatCode>
                <c:ptCount val="12"/>
                <c:pt idx="0">
                  <c:v>46053</c:v>
                </c:pt>
                <c:pt idx="1">
                  <c:v>46081</c:v>
                </c:pt>
                <c:pt idx="2">
                  <c:v>46112</c:v>
                </c:pt>
                <c:pt idx="3">
                  <c:v>46142</c:v>
                </c:pt>
                <c:pt idx="4">
                  <c:v>46173</c:v>
                </c:pt>
                <c:pt idx="5">
                  <c:v>46203</c:v>
                </c:pt>
                <c:pt idx="6">
                  <c:v>46234</c:v>
                </c:pt>
                <c:pt idx="7">
                  <c:v>46265</c:v>
                </c:pt>
                <c:pt idx="8">
                  <c:v>46295</c:v>
                </c:pt>
                <c:pt idx="9">
                  <c:v>46326</c:v>
                </c:pt>
                <c:pt idx="10">
                  <c:v>46356</c:v>
                </c:pt>
                <c:pt idx="11">
                  <c:v>46387</c:v>
                </c:pt>
              </c:numCache>
            </c:numRef>
          </c:cat>
          <c:val>
            <c:numRef>
              <c:f>'Executive Dashboard'!$AF$21:$AQ$21</c:f>
              <c:numCache>
                <c:formatCode>_(#,##0_);\(#,##0\);_("–"_);_(@_)</c:formatCode>
                <c:ptCount val="12"/>
                <c:pt idx="0">
                  <c:v>36.75</c:v>
                </c:pt>
                <c:pt idx="1">
                  <c:v>36.824341679999996</c:v>
                </c:pt>
                <c:pt idx="2">
                  <c:v>36.943101869486398</c:v>
                </c:pt>
                <c:pt idx="3">
                  <c:v>37.106103928685542</c:v>
                </c:pt>
                <c:pt idx="4">
                  <c:v>37.313226509301543</c:v>
                </c:pt>
                <c:pt idx="5">
                  <c:v>37.564403006011837</c:v>
                </c:pt>
                <c:pt idx="6">
                  <c:v>37.859621078767027</c:v>
                </c:pt>
                <c:pt idx="7">
                  <c:v>38.19892224479922</c:v>
                </c:pt>
                <c:pt idx="8">
                  <c:v>38.582401539335883</c:v>
                </c:pt>
                <c:pt idx="9">
                  <c:v>39.010207244107619</c:v>
                </c:pt>
                <c:pt idx="10">
                  <c:v>39.48254068282742</c:v>
                </c:pt>
                <c:pt idx="11">
                  <c:v>39.99965608290703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6C-4D3C-8C52-286118098B61}"/>
            </c:ext>
          </c:extLst>
        </c:ser>
        <c:ser>
          <c:idx val="1"/>
          <c:order val="1"/>
          <c:tx>
            <c:strRef>
              <c:f>'Executive Dashboard'!$AB$22</c:f>
              <c:strCache>
                <c:ptCount val="1"/>
                <c:pt idx="0">
                  <c:v>Lost MRR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'Executive Dashboard'!$AF$7:$AQ$7</c:f>
              <c:numCache>
                <c:formatCode>mmm_)</c:formatCode>
                <c:ptCount val="12"/>
                <c:pt idx="0">
                  <c:v>46053</c:v>
                </c:pt>
                <c:pt idx="1">
                  <c:v>46081</c:v>
                </c:pt>
                <c:pt idx="2">
                  <c:v>46112</c:v>
                </c:pt>
                <c:pt idx="3">
                  <c:v>46142</c:v>
                </c:pt>
                <c:pt idx="4">
                  <c:v>46173</c:v>
                </c:pt>
                <c:pt idx="5">
                  <c:v>46203</c:v>
                </c:pt>
                <c:pt idx="6">
                  <c:v>46234</c:v>
                </c:pt>
                <c:pt idx="7">
                  <c:v>46265</c:v>
                </c:pt>
                <c:pt idx="8">
                  <c:v>46295</c:v>
                </c:pt>
                <c:pt idx="9">
                  <c:v>46326</c:v>
                </c:pt>
                <c:pt idx="10">
                  <c:v>46356</c:v>
                </c:pt>
                <c:pt idx="11">
                  <c:v>46387</c:v>
                </c:pt>
              </c:numCache>
            </c:numRef>
          </c:cat>
          <c:val>
            <c:numRef>
              <c:f>'Executive Dashboard'!$AF$22:$AQ$22</c:f>
              <c:numCache>
                <c:formatCode>_(#,##0_);\(#,##0\);_("–"_);_(@_)</c:formatCode>
                <c:ptCount val="12"/>
                <c:pt idx="0">
                  <c:v>-17.850000000000001</c:v>
                </c:pt>
                <c:pt idx="1">
                  <c:v>-18.264455999999999</c:v>
                </c:pt>
                <c:pt idx="2">
                  <c:v>-18.672925021027197</c:v>
                </c:pt>
                <c:pt idx="3">
                  <c:v>-19.076405215112374</c:v>
                </c:pt>
                <c:pt idx="4">
                  <c:v>-19.475873187762609</c:v>
                </c:pt>
                <c:pt idx="5">
                  <c:v>-19.872285494701774</c:v>
                </c:pt>
                <c:pt idx="6">
                  <c:v>-20.266580100617826</c:v>
                </c:pt>
                <c:pt idx="7">
                  <c:v>-20.659677802021179</c:v>
                </c:pt>
                <c:pt idx="8">
                  <c:v>-21.052483616258492</c:v>
                </c:pt>
                <c:pt idx="9">
                  <c:v>-21.445888138669478</c:v>
                </c:pt>
                <c:pt idx="10">
                  <c:v>-21.840768869819797</c:v>
                </c:pt>
                <c:pt idx="11">
                  <c:v>-22.237991514692112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6C-4D3C-8C52-286118098B61}"/>
            </c:ext>
          </c:extLst>
        </c:ser>
        <c:ser>
          <c:idx val="2"/>
          <c:order val="2"/>
          <c:tx>
            <c:strRef>
              <c:f>'Executive Dashboard'!$AB$23</c:f>
              <c:strCache>
                <c:ptCount val="1"/>
                <c:pt idx="0">
                  <c:v>Net New MRR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'Executive Dashboard'!$AF$7:$AQ$7</c:f>
              <c:numCache>
                <c:formatCode>mmm_)</c:formatCode>
                <c:ptCount val="12"/>
                <c:pt idx="0">
                  <c:v>46053</c:v>
                </c:pt>
                <c:pt idx="1">
                  <c:v>46081</c:v>
                </c:pt>
                <c:pt idx="2">
                  <c:v>46112</c:v>
                </c:pt>
                <c:pt idx="3">
                  <c:v>46142</c:v>
                </c:pt>
                <c:pt idx="4">
                  <c:v>46173</c:v>
                </c:pt>
                <c:pt idx="5">
                  <c:v>46203</c:v>
                </c:pt>
                <c:pt idx="6">
                  <c:v>46234</c:v>
                </c:pt>
                <c:pt idx="7">
                  <c:v>46265</c:v>
                </c:pt>
                <c:pt idx="8">
                  <c:v>46295</c:v>
                </c:pt>
                <c:pt idx="9">
                  <c:v>46326</c:v>
                </c:pt>
                <c:pt idx="10">
                  <c:v>46356</c:v>
                </c:pt>
                <c:pt idx="11">
                  <c:v>46387</c:v>
                </c:pt>
              </c:numCache>
            </c:numRef>
          </c:cat>
          <c:val>
            <c:numRef>
              <c:f>'Executive Dashboard'!$AF$23:$AQ$23</c:f>
              <c:numCache>
                <c:formatCode>_(#,##0_);\(#,##0\);_("–"_);_(@_)</c:formatCode>
                <c:ptCount val="12"/>
                <c:pt idx="0">
                  <c:v>18.899999999999999</c:v>
                </c:pt>
                <c:pt idx="1">
                  <c:v>18.559885679999997</c:v>
                </c:pt>
                <c:pt idx="2">
                  <c:v>18.270176848459201</c:v>
                </c:pt>
                <c:pt idx="3">
                  <c:v>18.029698713573168</c:v>
                </c:pt>
                <c:pt idx="4">
                  <c:v>17.837353321538934</c:v>
                </c:pt>
                <c:pt idx="5">
                  <c:v>17.692117511310062</c:v>
                </c:pt>
                <c:pt idx="6">
                  <c:v>17.593040978149201</c:v>
                </c:pt>
                <c:pt idx="7">
                  <c:v>17.539244442778042</c:v>
                </c:pt>
                <c:pt idx="8">
                  <c:v>17.529917923077392</c:v>
                </c:pt>
                <c:pt idx="9">
                  <c:v>17.564319105438141</c:v>
                </c:pt>
                <c:pt idx="10">
                  <c:v>17.641771813007622</c:v>
                </c:pt>
                <c:pt idx="11">
                  <c:v>17.761664568214918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46C-4D3C-8C52-286118098B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12134623"/>
        <c:axId val="712125055"/>
      </c:barChart>
      <c:dateAx>
        <c:axId val="712134623"/>
        <c:scaling>
          <c:orientation val="minMax"/>
        </c:scaling>
        <c:delete val="0"/>
        <c:axPos val="l"/>
        <c:numFmt formatCode="mmm_)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125055"/>
        <c:crosses val="autoZero"/>
        <c:auto val="1"/>
        <c:lblOffset val="100"/>
        <c:baseTimeUnit val="months"/>
      </c:dateAx>
      <c:valAx>
        <c:axId val="712125055"/>
        <c:scaling>
          <c:orientation val="minMax"/>
        </c:scaling>
        <c:delete val="1"/>
        <c:axPos val="b"/>
        <c:numFmt formatCode="_(#,##0_);\(#,##0\);_(&quot;–&quot;_);_(@_)" sourceLinked="1"/>
        <c:majorTickMark val="none"/>
        <c:minorTickMark val="none"/>
        <c:tickLblPos val="nextTo"/>
        <c:crossAx val="712134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088363954505687E-2"/>
          <c:y val="3.4422657952069717E-2"/>
          <c:w val="0.86427397747156609"/>
          <c:h val="0.8236986716529716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'Executive Dashboard'!$AB$74</c:f>
              <c:strCache>
                <c:ptCount val="1"/>
                <c:pt idx="0">
                  <c:v>ARPU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gradFill>
                <a:gsLst>
                  <a:gs pos="0">
                    <a:schemeClr val="bg1">
                      <a:lumMod val="6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  <a:effectLst/>
          </c:spPr>
          <c:invertIfNegative val="0"/>
          <c:cat>
            <c:numRef>
              <c:f>'Executive Dashboard'!$AF$7:$BC$7</c:f>
              <c:numCache>
                <c:formatCode>mmm_)</c:formatCode>
                <c:ptCount val="24"/>
                <c:pt idx="0">
                  <c:v>46053</c:v>
                </c:pt>
                <c:pt idx="1">
                  <c:v>46081</c:v>
                </c:pt>
                <c:pt idx="2">
                  <c:v>46112</c:v>
                </c:pt>
                <c:pt idx="3">
                  <c:v>46142</c:v>
                </c:pt>
                <c:pt idx="4">
                  <c:v>46173</c:v>
                </c:pt>
                <c:pt idx="5">
                  <c:v>46203</c:v>
                </c:pt>
                <c:pt idx="6">
                  <c:v>46234</c:v>
                </c:pt>
                <c:pt idx="7">
                  <c:v>46265</c:v>
                </c:pt>
                <c:pt idx="8">
                  <c:v>46295</c:v>
                </c:pt>
                <c:pt idx="9">
                  <c:v>46326</c:v>
                </c:pt>
                <c:pt idx="10">
                  <c:v>46356</c:v>
                </c:pt>
                <c:pt idx="11">
                  <c:v>46387</c:v>
                </c:pt>
                <c:pt idx="12">
                  <c:v>46418</c:v>
                </c:pt>
                <c:pt idx="13">
                  <c:v>46446</c:v>
                </c:pt>
                <c:pt idx="14">
                  <c:v>46477</c:v>
                </c:pt>
                <c:pt idx="15">
                  <c:v>46507</c:v>
                </c:pt>
                <c:pt idx="16">
                  <c:v>46538</c:v>
                </c:pt>
                <c:pt idx="17">
                  <c:v>46568</c:v>
                </c:pt>
                <c:pt idx="18">
                  <c:v>46599</c:v>
                </c:pt>
                <c:pt idx="19">
                  <c:v>46630</c:v>
                </c:pt>
                <c:pt idx="20">
                  <c:v>46660</c:v>
                </c:pt>
                <c:pt idx="21">
                  <c:v>46691</c:v>
                </c:pt>
                <c:pt idx="22">
                  <c:v>46721</c:v>
                </c:pt>
                <c:pt idx="23">
                  <c:v>46752</c:v>
                </c:pt>
              </c:numCache>
            </c:numRef>
          </c:cat>
          <c:val>
            <c:numRef>
              <c:f>'Executive Dashboard'!$AF$74:$BC$74</c:f>
              <c:numCache>
                <c:formatCode>_(#,##0_);\(#,##0\);_("–"_);_(@_)</c:formatCode>
                <c:ptCount val="24"/>
                <c:pt idx="0">
                  <c:v>1052.0999999999999</c:v>
                </c:pt>
                <c:pt idx="1">
                  <c:v>1054.2041999999999</c:v>
                </c:pt>
                <c:pt idx="2">
                  <c:v>1056.3126083999998</c:v>
                </c:pt>
                <c:pt idx="3">
                  <c:v>1058.4252336167999</c:v>
                </c:pt>
                <c:pt idx="4">
                  <c:v>1060.5420840840336</c:v>
                </c:pt>
                <c:pt idx="5">
                  <c:v>1062.6631682522016</c:v>
                </c:pt>
                <c:pt idx="6">
                  <c:v>1064.788494588706</c:v>
                </c:pt>
                <c:pt idx="7">
                  <c:v>1066.9180715778834</c:v>
                </c:pt>
                <c:pt idx="8">
                  <c:v>1069.0519077210392</c:v>
                </c:pt>
                <c:pt idx="9">
                  <c:v>1071.1900115364813</c:v>
                </c:pt>
                <c:pt idx="10">
                  <c:v>1073.3323915595543</c:v>
                </c:pt>
                <c:pt idx="11">
                  <c:v>1075.4790563426734</c:v>
                </c:pt>
                <c:pt idx="12">
                  <c:v>1078.7054935117014</c:v>
                </c:pt>
                <c:pt idx="13">
                  <c:v>1081.9416099922366</c:v>
                </c:pt>
                <c:pt idx="14">
                  <c:v>1085.1874348222134</c:v>
                </c:pt>
                <c:pt idx="15">
                  <c:v>1088.44299712668</c:v>
                </c:pt>
                <c:pt idx="16">
                  <c:v>1091.7083261180601</c:v>
                </c:pt>
                <c:pt idx="17">
                  <c:v>1094.9834510964142</c:v>
                </c:pt>
                <c:pt idx="18">
                  <c:v>1098.2684014497036</c:v>
                </c:pt>
                <c:pt idx="19">
                  <c:v>1101.5632066540527</c:v>
                </c:pt>
                <c:pt idx="20">
                  <c:v>1104.8678962740148</c:v>
                </c:pt>
                <c:pt idx="21">
                  <c:v>1108.1824999628368</c:v>
                </c:pt>
                <c:pt idx="22">
                  <c:v>1111.5070474627253</c:v>
                </c:pt>
                <c:pt idx="23">
                  <c:v>1114.8415686051135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84-4659-A157-0FEE1022BB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-27"/>
        <c:axId val="1666164175"/>
        <c:axId val="1666165423"/>
      </c:barChart>
      <c:lineChart>
        <c:grouping val="standard"/>
        <c:varyColors val="0"/>
        <c:ser>
          <c:idx val="1"/>
          <c:order val="1"/>
          <c:tx>
            <c:strRef>
              <c:f>'Executive Dashboard'!$AB$73</c:f>
              <c:strCache>
                <c:ptCount val="1"/>
                <c:pt idx="0">
                  <c:v>Gross Churn</c:v>
                </c:pt>
              </c:strCache>
            </c:strRef>
          </c:tx>
          <c:spPr>
            <a:ln w="28575" cap="rnd">
              <a:solidFill>
                <a:srgbClr val="0A1C3A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'Executive Dashboard'!$AF$73:$BC$73</c:f>
              <c:numCache>
                <c:formatCode>_(#,##0.0%_);\(#,##0.0%\);_("–"_)_%;_(@_)_%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1.7999999999999999E-2</c:v>
                </c:pt>
                <c:pt idx="13">
                  <c:v>1.7999999999999999E-2</c:v>
                </c:pt>
                <c:pt idx="14">
                  <c:v>1.7999999999999999E-2</c:v>
                </c:pt>
                <c:pt idx="15">
                  <c:v>1.7999999999999999E-2</c:v>
                </c:pt>
                <c:pt idx="16">
                  <c:v>1.7999999999999999E-2</c:v>
                </c:pt>
                <c:pt idx="17">
                  <c:v>1.7999999999999999E-2</c:v>
                </c:pt>
                <c:pt idx="18">
                  <c:v>1.7999999999999999E-2</c:v>
                </c:pt>
                <c:pt idx="19">
                  <c:v>1.7999999999999999E-2</c:v>
                </c:pt>
                <c:pt idx="20">
                  <c:v>1.7999999999999999E-2</c:v>
                </c:pt>
                <c:pt idx="21">
                  <c:v>1.7999999999999999E-2</c:v>
                </c:pt>
                <c:pt idx="22">
                  <c:v>1.7999999999999999E-2</c:v>
                </c:pt>
                <c:pt idx="23">
                  <c:v>1.7999999999999999E-2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84-4659-A157-0FEE1022BB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081599"/>
        <c:axId val="159085343"/>
      </c:lineChart>
      <c:dateAx>
        <c:axId val="16661641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/>
                  <a:t>2026                    </a:t>
                </a:r>
                <a:r>
                  <a:rPr lang="en-US" sz="800" baseline="0"/>
                  <a:t>  </a:t>
                </a:r>
                <a:r>
                  <a:rPr lang="en-US" sz="800"/>
                  <a:t>                                                                                                           2027                      </a:t>
                </a:r>
              </a:p>
            </c:rich>
          </c:tx>
          <c:layout>
            <c:manualLayout>
              <c:xMode val="edge"/>
              <c:yMode val="edge"/>
              <c:x val="5.7486056430446193E-2"/>
              <c:y val="0.9218023890804498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165423"/>
        <c:crosses val="autoZero"/>
        <c:auto val="1"/>
        <c:lblOffset val="100"/>
        <c:baseTimeUnit val="months"/>
      </c:dateAx>
      <c:valAx>
        <c:axId val="1666165423"/>
        <c:scaling>
          <c:orientation val="minMax"/>
          <c:max val="1250"/>
          <c:min val="800"/>
        </c:scaling>
        <c:delete val="0"/>
        <c:axPos val="l"/>
        <c:numFmt formatCode="_(#,##0_);\(#,##0\);_(&quot;–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164175"/>
        <c:crosses val="autoZero"/>
        <c:crossBetween val="between"/>
        <c:majorUnit val="50"/>
        <c:minorUnit val="50"/>
      </c:valAx>
      <c:valAx>
        <c:axId val="159085343"/>
        <c:scaling>
          <c:orientation val="minMax"/>
          <c:max val="4.5000000000000012E-2"/>
          <c:min val="0"/>
        </c:scaling>
        <c:delete val="0"/>
        <c:axPos val="r"/>
        <c:numFmt formatCode="0.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081599"/>
        <c:crosses val="max"/>
        <c:crossBetween val="between"/>
      </c:valAx>
      <c:catAx>
        <c:axId val="159081599"/>
        <c:scaling>
          <c:orientation val="minMax"/>
        </c:scaling>
        <c:delete val="1"/>
        <c:axPos val="b"/>
        <c:majorTickMark val="out"/>
        <c:minorTickMark val="none"/>
        <c:tickLblPos val="nextTo"/>
        <c:crossAx val="15908534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b" anchorCtr="0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800"/>
              <a:t>2026</a:t>
            </a:r>
            <a:r>
              <a:rPr lang="en-US" sz="800" baseline="0"/>
              <a:t>                                                                                                                                                 2027</a:t>
            </a:r>
            <a:endParaRPr lang="en-US" sz="800"/>
          </a:p>
        </c:rich>
      </c:tx>
      <c:layout>
        <c:manualLayout>
          <c:xMode val="edge"/>
          <c:yMode val="edge"/>
          <c:x val="5.1015159628975841E-2"/>
          <c:y val="0.9565217391304347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b" anchorCtr="0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8453494094488185E-2"/>
          <c:y val="9.8188748145612237E-2"/>
          <c:w val="0.8993849792213473"/>
          <c:h val="0.8055843889079084"/>
        </c:manualLayout>
      </c:layout>
      <c:areaChart>
        <c:grouping val="stacked"/>
        <c:varyColors val="0"/>
        <c:ser>
          <c:idx val="0"/>
          <c:order val="0"/>
          <c:tx>
            <c:strRef>
              <c:f>'Executive Dashboard'!$AB$135</c:f>
              <c:strCache>
                <c:ptCount val="1"/>
                <c:pt idx="0">
                  <c:v>Customer Success Personnel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accent2"/>
              </a:solidFill>
            </a:ln>
            <a:effectLst/>
          </c:spPr>
          <c:cat>
            <c:numRef>
              <c:f>'Executive Dashboard'!$AF$131:$BC$131</c:f>
              <c:numCache>
                <c:formatCode>mmm_)</c:formatCode>
                <c:ptCount val="24"/>
                <c:pt idx="0">
                  <c:v>46053</c:v>
                </c:pt>
                <c:pt idx="1">
                  <c:v>46081</c:v>
                </c:pt>
                <c:pt idx="2">
                  <c:v>46112</c:v>
                </c:pt>
                <c:pt idx="3">
                  <c:v>46142</c:v>
                </c:pt>
                <c:pt idx="4">
                  <c:v>46173</c:v>
                </c:pt>
                <c:pt idx="5">
                  <c:v>46203</c:v>
                </c:pt>
                <c:pt idx="6">
                  <c:v>46234</c:v>
                </c:pt>
                <c:pt idx="7">
                  <c:v>46265</c:v>
                </c:pt>
                <c:pt idx="8">
                  <c:v>46295</c:v>
                </c:pt>
                <c:pt idx="9">
                  <c:v>46326</c:v>
                </c:pt>
                <c:pt idx="10">
                  <c:v>46356</c:v>
                </c:pt>
                <c:pt idx="11">
                  <c:v>46387</c:v>
                </c:pt>
                <c:pt idx="12">
                  <c:v>46418</c:v>
                </c:pt>
                <c:pt idx="13">
                  <c:v>46446</c:v>
                </c:pt>
                <c:pt idx="14">
                  <c:v>46477</c:v>
                </c:pt>
                <c:pt idx="15">
                  <c:v>46507</c:v>
                </c:pt>
                <c:pt idx="16">
                  <c:v>46538</c:v>
                </c:pt>
                <c:pt idx="17">
                  <c:v>46568</c:v>
                </c:pt>
                <c:pt idx="18">
                  <c:v>46599</c:v>
                </c:pt>
                <c:pt idx="19">
                  <c:v>46630</c:v>
                </c:pt>
                <c:pt idx="20">
                  <c:v>46660</c:v>
                </c:pt>
                <c:pt idx="21">
                  <c:v>46691</c:v>
                </c:pt>
                <c:pt idx="22">
                  <c:v>46721</c:v>
                </c:pt>
                <c:pt idx="23">
                  <c:v>46752</c:v>
                </c:pt>
              </c:numCache>
            </c:numRef>
          </c:cat>
          <c:val>
            <c:numRef>
              <c:f>'Executive Dashboard'!$AF$135:$BC$135</c:f>
              <c:numCache>
                <c:formatCode>_(#,##0_);\(#,##0\);_("–"_);_(@_)</c:formatCode>
                <c:ptCount val="24"/>
                <c:pt idx="0">
                  <c:v>89.924166666666665</c:v>
                </c:pt>
                <c:pt idx="1">
                  <c:v>92.872500000000002</c:v>
                </c:pt>
                <c:pt idx="2">
                  <c:v>95.820833333333326</c:v>
                </c:pt>
                <c:pt idx="3">
                  <c:v>98.769166666666663</c:v>
                </c:pt>
                <c:pt idx="4">
                  <c:v>101.7175</c:v>
                </c:pt>
                <c:pt idx="5">
                  <c:v>104.66583333333332</c:v>
                </c:pt>
                <c:pt idx="6">
                  <c:v>107.61416666666666</c:v>
                </c:pt>
                <c:pt idx="7">
                  <c:v>110.5625</c:v>
                </c:pt>
                <c:pt idx="8">
                  <c:v>113.51083333333332</c:v>
                </c:pt>
                <c:pt idx="9">
                  <c:v>116.45916666666666</c:v>
                </c:pt>
                <c:pt idx="10">
                  <c:v>119.4075</c:v>
                </c:pt>
                <c:pt idx="11">
                  <c:v>122.35583333333332</c:v>
                </c:pt>
                <c:pt idx="12">
                  <c:v>124.56708333333331</c:v>
                </c:pt>
                <c:pt idx="13">
                  <c:v>126.18866666666665</c:v>
                </c:pt>
                <c:pt idx="14">
                  <c:v>127.95766666666667</c:v>
                </c:pt>
                <c:pt idx="15">
                  <c:v>129.72666666666666</c:v>
                </c:pt>
                <c:pt idx="16">
                  <c:v>131.49566666666666</c:v>
                </c:pt>
                <c:pt idx="17">
                  <c:v>133.26466666666667</c:v>
                </c:pt>
                <c:pt idx="18">
                  <c:v>135.03366666666668</c:v>
                </c:pt>
                <c:pt idx="19">
                  <c:v>136.80266666666668</c:v>
                </c:pt>
                <c:pt idx="20">
                  <c:v>138.57166666666669</c:v>
                </c:pt>
                <c:pt idx="21">
                  <c:v>140.34066666666669</c:v>
                </c:pt>
                <c:pt idx="22">
                  <c:v>142.1096666666667</c:v>
                </c:pt>
                <c:pt idx="23">
                  <c:v>143.87866666666667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52-486F-B322-6525FF42AF7E}"/>
            </c:ext>
          </c:extLst>
        </c:ser>
        <c:ser>
          <c:idx val="1"/>
          <c:order val="1"/>
          <c:tx>
            <c:strRef>
              <c:f>'Executive Dashboard'!$AB$136</c:f>
              <c:strCache>
                <c:ptCount val="1"/>
                <c:pt idx="0">
                  <c:v>Hosting &amp; Infrastructure</c:v>
                </c:pt>
              </c:strCache>
            </c:strRef>
          </c:tx>
          <c:spPr>
            <a:solidFill>
              <a:srgbClr val="D9E1F2"/>
            </a:solidFill>
            <a:ln>
              <a:solidFill>
                <a:schemeClr val="bg1"/>
              </a:solidFill>
            </a:ln>
            <a:effectLst/>
          </c:spPr>
          <c:cat>
            <c:numRef>
              <c:f>'Executive Dashboard'!$AF$131:$BC$131</c:f>
              <c:numCache>
                <c:formatCode>mmm_)</c:formatCode>
                <c:ptCount val="24"/>
                <c:pt idx="0">
                  <c:v>46053</c:v>
                </c:pt>
                <c:pt idx="1">
                  <c:v>46081</c:v>
                </c:pt>
                <c:pt idx="2">
                  <c:v>46112</c:v>
                </c:pt>
                <c:pt idx="3">
                  <c:v>46142</c:v>
                </c:pt>
                <c:pt idx="4">
                  <c:v>46173</c:v>
                </c:pt>
                <c:pt idx="5">
                  <c:v>46203</c:v>
                </c:pt>
                <c:pt idx="6">
                  <c:v>46234</c:v>
                </c:pt>
                <c:pt idx="7">
                  <c:v>46265</c:v>
                </c:pt>
                <c:pt idx="8">
                  <c:v>46295</c:v>
                </c:pt>
                <c:pt idx="9">
                  <c:v>46326</c:v>
                </c:pt>
                <c:pt idx="10">
                  <c:v>46356</c:v>
                </c:pt>
                <c:pt idx="11">
                  <c:v>46387</c:v>
                </c:pt>
                <c:pt idx="12">
                  <c:v>46418</c:v>
                </c:pt>
                <c:pt idx="13">
                  <c:v>46446</c:v>
                </c:pt>
                <c:pt idx="14">
                  <c:v>46477</c:v>
                </c:pt>
                <c:pt idx="15">
                  <c:v>46507</c:v>
                </c:pt>
                <c:pt idx="16">
                  <c:v>46538</c:v>
                </c:pt>
                <c:pt idx="17">
                  <c:v>46568</c:v>
                </c:pt>
                <c:pt idx="18">
                  <c:v>46599</c:v>
                </c:pt>
                <c:pt idx="19">
                  <c:v>46630</c:v>
                </c:pt>
                <c:pt idx="20">
                  <c:v>46660</c:v>
                </c:pt>
                <c:pt idx="21">
                  <c:v>46691</c:v>
                </c:pt>
                <c:pt idx="22">
                  <c:v>46721</c:v>
                </c:pt>
                <c:pt idx="23">
                  <c:v>46752</c:v>
                </c:pt>
              </c:numCache>
            </c:numRef>
          </c:cat>
          <c:val>
            <c:numRef>
              <c:f>'Executive Dashboard'!$AF$136:$BC$136</c:f>
              <c:numCache>
                <c:formatCode>_(#,##0_);\(#,##0\);_("–"_);_(@_)</c:formatCode>
                <c:ptCount val="24"/>
                <c:pt idx="0">
                  <c:v>45.661139999999996</c:v>
                </c:pt>
                <c:pt idx="1">
                  <c:v>46.682312552568</c:v>
                </c:pt>
                <c:pt idx="2">
                  <c:v>47.691013037780948</c:v>
                </c:pt>
                <c:pt idx="3">
                  <c:v>48.689682969406526</c:v>
                </c:pt>
                <c:pt idx="4">
                  <c:v>49.680713736754434</c:v>
                </c:pt>
                <c:pt idx="5">
                  <c:v>50.666450251544575</c:v>
                </c:pt>
                <c:pt idx="6">
                  <c:v>51.649194505052947</c:v>
                </c:pt>
                <c:pt idx="7">
                  <c:v>52.631209040646233</c:v>
                </c:pt>
                <c:pt idx="8">
                  <c:v>53.6147203466737</c:v>
                </c:pt>
                <c:pt idx="9">
                  <c:v>54.601922174549493</c:v>
                </c:pt>
                <c:pt idx="10">
                  <c:v>55.59497878673028</c:v>
                </c:pt>
                <c:pt idx="11">
                  <c:v>56.596028139171317</c:v>
                </c:pt>
                <c:pt idx="12">
                  <c:v>57.879917700988393</c:v>
                </c:pt>
                <c:pt idx="13">
                  <c:v>59.173805358377052</c:v>
                </c:pt>
                <c:pt idx="14">
                  <c:v>60.479562711687514</c:v>
                </c:pt>
                <c:pt idx="15">
                  <c:v>61.799043053098281</c:v>
                </c:pt>
                <c:pt idx="16">
                  <c:v>63.134083754401935</c:v>
                </c:pt>
                <c:pt idx="17">
                  <c:v>64.48650860634207</c:v>
                </c:pt>
                <c:pt idx="18">
                  <c:v>65.85813011268894</c:v>
                </c:pt>
                <c:pt idx="19">
                  <c:v>67.250751742152502</c:v>
                </c:pt>
                <c:pt idx="20">
                  <c:v>68.666170141147475</c:v>
                </c:pt>
                <c:pt idx="21">
                  <c:v>70.106177310344606</c:v>
                </c:pt>
                <c:pt idx="22">
                  <c:v>71.572562747866371</c:v>
                </c:pt>
                <c:pt idx="23">
                  <c:v>73.06711556191442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52-486F-B322-6525FF42AF7E}"/>
            </c:ext>
          </c:extLst>
        </c:ser>
        <c:ser>
          <c:idx val="2"/>
          <c:order val="2"/>
          <c:tx>
            <c:strRef>
              <c:f>'Executive Dashboard'!$AB$137</c:f>
              <c:strCache>
                <c:ptCount val="1"/>
                <c:pt idx="0">
                  <c:v>Sales &amp; Marketing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solidFill>
                <a:schemeClr val="bg1">
                  <a:lumMod val="75000"/>
                </a:schemeClr>
              </a:solidFill>
            </a:ln>
            <a:effectLst/>
          </c:spPr>
          <c:cat>
            <c:numRef>
              <c:f>'Executive Dashboard'!$AF$131:$BC$131</c:f>
              <c:numCache>
                <c:formatCode>mmm_)</c:formatCode>
                <c:ptCount val="24"/>
                <c:pt idx="0">
                  <c:v>46053</c:v>
                </c:pt>
                <c:pt idx="1">
                  <c:v>46081</c:v>
                </c:pt>
                <c:pt idx="2">
                  <c:v>46112</c:v>
                </c:pt>
                <c:pt idx="3">
                  <c:v>46142</c:v>
                </c:pt>
                <c:pt idx="4">
                  <c:v>46173</c:v>
                </c:pt>
                <c:pt idx="5">
                  <c:v>46203</c:v>
                </c:pt>
                <c:pt idx="6">
                  <c:v>46234</c:v>
                </c:pt>
                <c:pt idx="7">
                  <c:v>46265</c:v>
                </c:pt>
                <c:pt idx="8">
                  <c:v>46295</c:v>
                </c:pt>
                <c:pt idx="9">
                  <c:v>46326</c:v>
                </c:pt>
                <c:pt idx="10">
                  <c:v>46356</c:v>
                </c:pt>
                <c:pt idx="11">
                  <c:v>46387</c:v>
                </c:pt>
                <c:pt idx="12">
                  <c:v>46418</c:v>
                </c:pt>
                <c:pt idx="13">
                  <c:v>46446</c:v>
                </c:pt>
                <c:pt idx="14">
                  <c:v>46477</c:v>
                </c:pt>
                <c:pt idx="15">
                  <c:v>46507</c:v>
                </c:pt>
                <c:pt idx="16">
                  <c:v>46538</c:v>
                </c:pt>
                <c:pt idx="17">
                  <c:v>46568</c:v>
                </c:pt>
                <c:pt idx="18">
                  <c:v>46599</c:v>
                </c:pt>
                <c:pt idx="19">
                  <c:v>46630</c:v>
                </c:pt>
                <c:pt idx="20">
                  <c:v>46660</c:v>
                </c:pt>
                <c:pt idx="21">
                  <c:v>46691</c:v>
                </c:pt>
                <c:pt idx="22">
                  <c:v>46721</c:v>
                </c:pt>
                <c:pt idx="23">
                  <c:v>46752</c:v>
                </c:pt>
              </c:numCache>
            </c:numRef>
          </c:cat>
          <c:val>
            <c:numRef>
              <c:f>'Executive Dashboard'!$AF$137:$BC$137</c:f>
              <c:numCache>
                <c:formatCode>_(#,##0_);\(#,##0\);_("–"_);_(@_)</c:formatCode>
                <c:ptCount val="24"/>
                <c:pt idx="0">
                  <c:v>309.96160866666668</c:v>
                </c:pt>
                <c:pt idx="1">
                  <c:v>319.17505848052372</c:v>
                </c:pt>
                <c:pt idx="2">
                  <c:v>328.35358650578667</c:v>
                </c:pt>
                <c:pt idx="3">
                  <c:v>337.50402898100492</c:v>
                </c:pt>
                <c:pt idx="4">
                  <c:v>346.63308179624573</c:v>
                </c:pt>
                <c:pt idx="5">
                  <c:v>355.74731070432483</c:v>
                </c:pt>
                <c:pt idx="6">
                  <c:v>364.8531612808149</c:v>
                </c:pt>
                <c:pt idx="7">
                  <c:v>373.95696864714279</c:v>
                </c:pt>
                <c:pt idx="8">
                  <c:v>383.06496697068633</c:v>
                </c:pt>
                <c:pt idx="9">
                  <c:v>392.18329875540525</c:v>
                </c:pt>
                <c:pt idx="10">
                  <c:v>401.31802393617818</c:v>
                </c:pt>
                <c:pt idx="11">
                  <c:v>410.47512878967962</c:v>
                </c:pt>
                <c:pt idx="12">
                  <c:v>417.74158787541433</c:v>
                </c:pt>
                <c:pt idx="13">
                  <c:v>423.45928612245393</c:v>
                </c:pt>
                <c:pt idx="14">
                  <c:v>429.1577518300237</c:v>
                </c:pt>
                <c:pt idx="15">
                  <c:v>434.84131377109395</c:v>
                </c:pt>
                <c:pt idx="16">
                  <c:v>440.5141094702185</c:v>
                </c:pt>
                <c:pt idx="17">
                  <c:v>446.18009306499664</c:v>
                </c:pt>
                <c:pt idx="18">
                  <c:v>451.8430427664191</c:v>
                </c:pt>
                <c:pt idx="19">
                  <c:v>457.50656793261578</c:v>
                </c:pt>
                <c:pt idx="20">
                  <c:v>463.17411576980624</c:v>
                </c:pt>
                <c:pt idx="21">
                  <c:v>468.84897767356244</c:v>
                </c:pt>
                <c:pt idx="22">
                  <c:v>475.96574647778573</c:v>
                </c:pt>
                <c:pt idx="23">
                  <c:v>483.15575046097729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B52-486F-B322-6525FF42AF7E}"/>
            </c:ext>
          </c:extLst>
        </c:ser>
        <c:ser>
          <c:idx val="3"/>
          <c:order val="3"/>
          <c:tx>
            <c:strRef>
              <c:f>'Executive Dashboard'!$AB$138</c:f>
              <c:strCache>
                <c:ptCount val="1"/>
                <c:pt idx="0">
                  <c:v>R&amp;D/Product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'Executive Dashboard'!$AF$131:$BC$131</c:f>
              <c:numCache>
                <c:formatCode>mmm_)</c:formatCode>
                <c:ptCount val="24"/>
                <c:pt idx="0">
                  <c:v>46053</c:v>
                </c:pt>
                <c:pt idx="1">
                  <c:v>46081</c:v>
                </c:pt>
                <c:pt idx="2">
                  <c:v>46112</c:v>
                </c:pt>
                <c:pt idx="3">
                  <c:v>46142</c:v>
                </c:pt>
                <c:pt idx="4">
                  <c:v>46173</c:v>
                </c:pt>
                <c:pt idx="5">
                  <c:v>46203</c:v>
                </c:pt>
                <c:pt idx="6">
                  <c:v>46234</c:v>
                </c:pt>
                <c:pt idx="7">
                  <c:v>46265</c:v>
                </c:pt>
                <c:pt idx="8">
                  <c:v>46295</c:v>
                </c:pt>
                <c:pt idx="9">
                  <c:v>46326</c:v>
                </c:pt>
                <c:pt idx="10">
                  <c:v>46356</c:v>
                </c:pt>
                <c:pt idx="11">
                  <c:v>46387</c:v>
                </c:pt>
                <c:pt idx="12">
                  <c:v>46418</c:v>
                </c:pt>
                <c:pt idx="13">
                  <c:v>46446</c:v>
                </c:pt>
                <c:pt idx="14">
                  <c:v>46477</c:v>
                </c:pt>
                <c:pt idx="15">
                  <c:v>46507</c:v>
                </c:pt>
                <c:pt idx="16">
                  <c:v>46538</c:v>
                </c:pt>
                <c:pt idx="17">
                  <c:v>46568</c:v>
                </c:pt>
                <c:pt idx="18">
                  <c:v>46599</c:v>
                </c:pt>
                <c:pt idx="19">
                  <c:v>46630</c:v>
                </c:pt>
                <c:pt idx="20">
                  <c:v>46660</c:v>
                </c:pt>
                <c:pt idx="21">
                  <c:v>46691</c:v>
                </c:pt>
                <c:pt idx="22">
                  <c:v>46721</c:v>
                </c:pt>
                <c:pt idx="23">
                  <c:v>46752</c:v>
                </c:pt>
              </c:numCache>
            </c:numRef>
          </c:cat>
          <c:val>
            <c:numRef>
              <c:f>'Executive Dashboard'!$AF$138:$BC$138</c:f>
              <c:numCache>
                <c:formatCode>_(#,##0_);\(#,##0\);_("–"_);_(@_)</c:formatCode>
                <c:ptCount val="24"/>
                <c:pt idx="0">
                  <c:v>306.77916666666664</c:v>
                </c:pt>
                <c:pt idx="1">
                  <c:v>315.42083333333329</c:v>
                </c:pt>
                <c:pt idx="2">
                  <c:v>324.0625</c:v>
                </c:pt>
                <c:pt idx="3">
                  <c:v>332.70416666666665</c:v>
                </c:pt>
                <c:pt idx="4">
                  <c:v>341.3458333333333</c:v>
                </c:pt>
                <c:pt idx="5">
                  <c:v>349.98750000000001</c:v>
                </c:pt>
                <c:pt idx="6">
                  <c:v>358.62916666666666</c:v>
                </c:pt>
                <c:pt idx="7">
                  <c:v>367.27083333333326</c:v>
                </c:pt>
                <c:pt idx="8">
                  <c:v>375.91249999999997</c:v>
                </c:pt>
                <c:pt idx="9">
                  <c:v>384.55416666666662</c:v>
                </c:pt>
                <c:pt idx="10">
                  <c:v>393.19583333333327</c:v>
                </c:pt>
                <c:pt idx="11">
                  <c:v>401.83749999999998</c:v>
                </c:pt>
                <c:pt idx="12">
                  <c:v>408.31874999999997</c:v>
                </c:pt>
                <c:pt idx="13">
                  <c:v>412.63958333333329</c:v>
                </c:pt>
                <c:pt idx="14">
                  <c:v>416.96041666666662</c:v>
                </c:pt>
                <c:pt idx="15">
                  <c:v>421.28125</c:v>
                </c:pt>
                <c:pt idx="16">
                  <c:v>425.60208333333327</c:v>
                </c:pt>
                <c:pt idx="17">
                  <c:v>429.92291666666665</c:v>
                </c:pt>
                <c:pt idx="18">
                  <c:v>434.24374999999998</c:v>
                </c:pt>
                <c:pt idx="19">
                  <c:v>438.5645833333333</c:v>
                </c:pt>
                <c:pt idx="20">
                  <c:v>442.88541666666663</c:v>
                </c:pt>
                <c:pt idx="21">
                  <c:v>447.20625000000001</c:v>
                </c:pt>
                <c:pt idx="22">
                  <c:v>451.52708333333328</c:v>
                </c:pt>
                <c:pt idx="23">
                  <c:v>455.84791666666661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B52-486F-B322-6525FF42AF7E}"/>
            </c:ext>
          </c:extLst>
        </c:ser>
        <c:ser>
          <c:idx val="4"/>
          <c:order val="4"/>
          <c:tx>
            <c:strRef>
              <c:f>'Executive Dashboard'!$AB$139</c:f>
              <c:strCache>
                <c:ptCount val="1"/>
                <c:pt idx="0">
                  <c:v>G&amp;A</c:v>
                </c:pt>
              </c:strCache>
            </c:strRef>
          </c:tx>
          <c:spPr>
            <a:solidFill>
              <a:srgbClr val="0A1C3A"/>
            </a:solidFill>
            <a:ln>
              <a:solidFill>
                <a:srgbClr val="0A1C3A"/>
              </a:solidFill>
            </a:ln>
            <a:effectLst/>
          </c:spPr>
          <c:cat>
            <c:numRef>
              <c:f>'Executive Dashboard'!$AF$131:$BC$131</c:f>
              <c:numCache>
                <c:formatCode>mmm_)</c:formatCode>
                <c:ptCount val="24"/>
                <c:pt idx="0">
                  <c:v>46053</c:v>
                </c:pt>
                <c:pt idx="1">
                  <c:v>46081</c:v>
                </c:pt>
                <c:pt idx="2">
                  <c:v>46112</c:v>
                </c:pt>
                <c:pt idx="3">
                  <c:v>46142</c:v>
                </c:pt>
                <c:pt idx="4">
                  <c:v>46173</c:v>
                </c:pt>
                <c:pt idx="5">
                  <c:v>46203</c:v>
                </c:pt>
                <c:pt idx="6">
                  <c:v>46234</c:v>
                </c:pt>
                <c:pt idx="7">
                  <c:v>46265</c:v>
                </c:pt>
                <c:pt idx="8">
                  <c:v>46295</c:v>
                </c:pt>
                <c:pt idx="9">
                  <c:v>46326</c:v>
                </c:pt>
                <c:pt idx="10">
                  <c:v>46356</c:v>
                </c:pt>
                <c:pt idx="11">
                  <c:v>46387</c:v>
                </c:pt>
                <c:pt idx="12">
                  <c:v>46418</c:v>
                </c:pt>
                <c:pt idx="13">
                  <c:v>46446</c:v>
                </c:pt>
                <c:pt idx="14">
                  <c:v>46477</c:v>
                </c:pt>
                <c:pt idx="15">
                  <c:v>46507</c:v>
                </c:pt>
                <c:pt idx="16">
                  <c:v>46538</c:v>
                </c:pt>
                <c:pt idx="17">
                  <c:v>46568</c:v>
                </c:pt>
                <c:pt idx="18">
                  <c:v>46599</c:v>
                </c:pt>
                <c:pt idx="19">
                  <c:v>46630</c:v>
                </c:pt>
                <c:pt idx="20">
                  <c:v>46660</c:v>
                </c:pt>
                <c:pt idx="21">
                  <c:v>46691</c:v>
                </c:pt>
                <c:pt idx="22">
                  <c:v>46721</c:v>
                </c:pt>
                <c:pt idx="23">
                  <c:v>46752</c:v>
                </c:pt>
              </c:numCache>
            </c:numRef>
          </c:cat>
          <c:val>
            <c:numRef>
              <c:f>'Executive Dashboard'!$AF$139:$BC$139</c:f>
              <c:numCache>
                <c:formatCode>_(#,##0_);\(#,##0\);_("–"_);_(@_)</c:formatCode>
                <c:ptCount val="24"/>
                <c:pt idx="0">
                  <c:v>204.65519666666665</c:v>
                </c:pt>
                <c:pt idx="1">
                  <c:v>208.68004177180268</c:v>
                </c:pt>
                <c:pt idx="2">
                  <c:v>212.67994274222858</c:v>
                </c:pt>
                <c:pt idx="3">
                  <c:v>216.65978260547973</c:v>
                </c:pt>
                <c:pt idx="4">
                  <c:v>220.62434414017554</c:v>
                </c:pt>
                <c:pt idx="5">
                  <c:v>224.57831716975585</c:v>
                </c:pt>
                <c:pt idx="6">
                  <c:v>228.52630567677258</c:v>
                </c:pt>
                <c:pt idx="7">
                  <c:v>232.47283474795918</c:v>
                </c:pt>
                <c:pt idx="8">
                  <c:v>236.42235736001408</c:v>
                </c:pt>
                <c:pt idx="9">
                  <c:v>240.37926101576574</c:v>
                </c:pt>
                <c:pt idx="10">
                  <c:v>244.34787424012728</c:v>
                </c:pt>
                <c:pt idx="11">
                  <c:v>248.33247294500939</c:v>
                </c:pt>
                <c:pt idx="12">
                  <c:v>251.06432038129043</c:v>
                </c:pt>
                <c:pt idx="13">
                  <c:v>253.10357516908579</c:v>
                </c:pt>
                <c:pt idx="14">
                  <c:v>255.11410166067387</c:v>
                </c:pt>
                <c:pt idx="15">
                  <c:v>257.09874599528212</c:v>
                </c:pt>
                <c:pt idx="16">
                  <c:v>259.06017580003044</c:v>
                </c:pt>
                <c:pt idx="17">
                  <c:v>261.00088617992321</c:v>
                </c:pt>
                <c:pt idx="18">
                  <c:v>262.92320534293486</c:v>
                </c:pt>
                <c:pt idx="19">
                  <c:v>264.82929987222735</c:v>
                </c:pt>
                <c:pt idx="20">
                  <c:v>266.72117965688858</c:v>
                </c:pt>
                <c:pt idx="21">
                  <c:v>268.60070249195377</c:v>
                </c:pt>
                <c:pt idx="22">
                  <c:v>271.90102961282628</c:v>
                </c:pt>
                <c:pt idx="23">
                  <c:v>275.25205801144614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B52-486F-B322-6525FF42AF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604335"/>
        <c:axId val="134611823"/>
      </c:areaChart>
      <c:dateAx>
        <c:axId val="134604335"/>
        <c:scaling>
          <c:orientation val="minMax"/>
        </c:scaling>
        <c:delete val="0"/>
        <c:axPos val="b"/>
        <c:numFmt formatCode="mmm_)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11823"/>
        <c:crosses val="autoZero"/>
        <c:auto val="1"/>
        <c:lblOffset val="100"/>
        <c:baseTimeUnit val="months"/>
      </c:dateAx>
      <c:valAx>
        <c:axId val="134611823"/>
        <c:scaling>
          <c:orientation val="minMax"/>
        </c:scaling>
        <c:delete val="0"/>
        <c:axPos val="l"/>
        <c:numFmt formatCode="_(#,##0_);\(#,##0\);_(&quot;–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043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4809027777777777E-2"/>
          <c:y val="1.7029327855757153E-2"/>
          <c:w val="0.93769972112860889"/>
          <c:h val="0.97993289969188635"/>
        </c:manualLayout>
      </c:layout>
      <c:barChart>
        <c:barDir val="bar"/>
        <c:grouping val="clustered"/>
        <c:varyColors val="0"/>
        <c:ser>
          <c:idx val="2"/>
          <c:order val="0"/>
          <c:tx>
            <c:strRef>
              <c:f>'Executive Dashboard'!$AB$141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rgbClr val="3271D2"/>
            </a:solidFill>
            <a:ln>
              <a:noFill/>
            </a:ln>
            <a:effectLst/>
          </c:spPr>
          <c:invertIfNegative val="1"/>
          <c:dLbls>
            <c:numFmt formatCode="_(#,##0_);\(#,##0\);_(&quot;–&quot;_);_(@_)" sourceLinked="0"/>
            <c:spPr>
              <a:noFill/>
              <a:ln>
                <a:noFill/>
              </a:ln>
              <a:effectLst>
                <a:softEdge rad="127000"/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'Executive Dashboard'!$AF$131:$BC$131</c:f>
              <c:numCache>
                <c:formatCode>mmm_)</c:formatCode>
                <c:ptCount val="24"/>
                <c:pt idx="0">
                  <c:v>46053</c:v>
                </c:pt>
                <c:pt idx="1">
                  <c:v>46081</c:v>
                </c:pt>
                <c:pt idx="2">
                  <c:v>46112</c:v>
                </c:pt>
                <c:pt idx="3">
                  <c:v>46142</c:v>
                </c:pt>
                <c:pt idx="4">
                  <c:v>46173</c:v>
                </c:pt>
                <c:pt idx="5">
                  <c:v>46203</c:v>
                </c:pt>
                <c:pt idx="6">
                  <c:v>46234</c:v>
                </c:pt>
                <c:pt idx="7">
                  <c:v>46265</c:v>
                </c:pt>
                <c:pt idx="8">
                  <c:v>46295</c:v>
                </c:pt>
                <c:pt idx="9">
                  <c:v>46326</c:v>
                </c:pt>
                <c:pt idx="10">
                  <c:v>46356</c:v>
                </c:pt>
                <c:pt idx="11">
                  <c:v>46387</c:v>
                </c:pt>
                <c:pt idx="12">
                  <c:v>46418</c:v>
                </c:pt>
                <c:pt idx="13">
                  <c:v>46446</c:v>
                </c:pt>
                <c:pt idx="14">
                  <c:v>46477</c:v>
                </c:pt>
                <c:pt idx="15">
                  <c:v>46507</c:v>
                </c:pt>
                <c:pt idx="16">
                  <c:v>46538</c:v>
                </c:pt>
                <c:pt idx="17">
                  <c:v>46568</c:v>
                </c:pt>
                <c:pt idx="18">
                  <c:v>46599</c:v>
                </c:pt>
                <c:pt idx="19">
                  <c:v>46630</c:v>
                </c:pt>
                <c:pt idx="20">
                  <c:v>46660</c:v>
                </c:pt>
                <c:pt idx="21">
                  <c:v>46691</c:v>
                </c:pt>
                <c:pt idx="22">
                  <c:v>46721</c:v>
                </c:pt>
                <c:pt idx="23">
                  <c:v>46752</c:v>
                </c:pt>
              </c:numCache>
            </c:numRef>
          </c:cat>
          <c:val>
            <c:numRef>
              <c:f>'Executive Dashboard'!$AF$141:$BC$141</c:f>
              <c:numCache>
                <c:formatCode>_(#,##0_);\(#,##0\);_("–"_);_(@_)</c:formatCode>
                <c:ptCount val="24"/>
                <c:pt idx="0">
                  <c:v>-43.758478666666747</c:v>
                </c:pt>
                <c:pt idx="1">
                  <c:v>-49.184495086867628</c:v>
                </c:pt>
                <c:pt idx="2">
                  <c:v>-54.787614863510726</c:v>
                </c:pt>
                <c:pt idx="3">
                  <c:v>-60.533168501093996</c:v>
                </c:pt>
                <c:pt idx="4">
                  <c:v>-66.387198271420289</c:v>
                </c:pt>
                <c:pt idx="5">
                  <c:v>-72.316406428067125</c:v>
                </c:pt>
                <c:pt idx="6">
                  <c:v>-78.28810469491475</c:v>
                </c:pt>
                <c:pt idx="7">
                  <c:v>-84.270164956156805</c:v>
                </c:pt>
                <c:pt idx="8">
                  <c:v>-90.230971077233335</c:v>
                </c:pt>
                <c:pt idx="9">
                  <c:v>-96.139371788063727</c:v>
                </c:pt>
                <c:pt idx="10">
                  <c:v>-101.96463456176343</c:v>
                </c:pt>
                <c:pt idx="11">
                  <c:v>-107.67640042376752</c:v>
                </c:pt>
                <c:pt idx="12">
                  <c:v>-101.97330527125871</c:v>
                </c:pt>
                <c:pt idx="13">
                  <c:v>-91.088809482376178</c:v>
                </c:pt>
                <c:pt idx="14">
                  <c:v>-80.078245301968536</c:v>
                </c:pt>
                <c:pt idx="15">
                  <c:v>-68.766158424176183</c:v>
                </c:pt>
                <c:pt idx="16">
                  <c:v>-57.124443936612806</c:v>
                </c:pt>
                <c:pt idx="17">
                  <c:v>-45.124899057754419</c:v>
                </c:pt>
                <c:pt idx="18">
                  <c:v>-32.739192634931442</c:v>
                </c:pt>
                <c:pt idx="19">
                  <c:v>-19.938834703946213</c:v>
                </c:pt>
                <c:pt idx="20">
                  <c:v>-6.6951460782263439</c:v>
                </c:pt>
                <c:pt idx="21">
                  <c:v>7.0207720643636549</c:v>
                </c:pt>
                <c:pt idx="22">
                  <c:v>18.375166118848256</c:v>
                </c:pt>
                <c:pt idx="23">
                  <c:v>30.140803870616764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ED7D31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2-7E47-49DE-879F-6240F3ECCB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712134623"/>
        <c:axId val="712125055"/>
      </c:barChart>
      <c:dateAx>
        <c:axId val="712134623"/>
        <c:scaling>
          <c:orientation val="minMax"/>
        </c:scaling>
        <c:delete val="0"/>
        <c:axPos val="l"/>
        <c:numFmt formatCode="mmm/yy_)" sourceLinked="0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125055"/>
        <c:crosses val="autoZero"/>
        <c:auto val="1"/>
        <c:lblOffset val="100"/>
        <c:baseTimeUnit val="months"/>
      </c:dateAx>
      <c:valAx>
        <c:axId val="712125055"/>
        <c:scaling>
          <c:orientation val="minMax"/>
        </c:scaling>
        <c:delete val="1"/>
        <c:axPos val="b"/>
        <c:numFmt formatCode="_(#,##0_);\(#,##0\);_(&quot;–&quot;_);_(@_)" sourceLinked="1"/>
        <c:majorTickMark val="none"/>
        <c:minorTickMark val="none"/>
        <c:tickLblPos val="nextTo"/>
        <c:crossAx val="712134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800"/>
              <a:t>2026  </a:t>
            </a:r>
            <a:r>
              <a:rPr lang="en-US" sz="800" baseline="0"/>
              <a:t>  </a:t>
            </a:r>
            <a:r>
              <a:rPr lang="en-US" sz="800"/>
              <a:t>                                                                                                                               2027</a:t>
            </a:r>
          </a:p>
        </c:rich>
      </c:tx>
      <c:layout>
        <c:manualLayout>
          <c:xMode val="edge"/>
          <c:yMode val="edge"/>
          <c:x val="7.2378534547161436E-2"/>
          <c:y val="0.963080146435057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3401547462817143E-2"/>
          <c:y val="7.8027777777777793E-2"/>
          <c:w val="0.84633940288713916"/>
          <c:h val="0.83253258967629051"/>
        </c:manualLayout>
      </c:layout>
      <c:lineChart>
        <c:grouping val="standard"/>
        <c:varyColors val="0"/>
        <c:ser>
          <c:idx val="0"/>
          <c:order val="0"/>
          <c:tx>
            <c:strRef>
              <c:f>'Executive Dashboard'!$AB$140</c:f>
              <c:strCache>
                <c:ptCount val="1"/>
                <c:pt idx="0">
                  <c:v>Gross Margin 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'Executive Dashboard'!$AF$131:$BC$131</c:f>
              <c:numCache>
                <c:formatCode>mmm_)</c:formatCode>
                <c:ptCount val="24"/>
                <c:pt idx="0">
                  <c:v>46053</c:v>
                </c:pt>
                <c:pt idx="1">
                  <c:v>46081</c:v>
                </c:pt>
                <c:pt idx="2">
                  <c:v>46112</c:v>
                </c:pt>
                <c:pt idx="3">
                  <c:v>46142</c:v>
                </c:pt>
                <c:pt idx="4">
                  <c:v>46173</c:v>
                </c:pt>
                <c:pt idx="5">
                  <c:v>46203</c:v>
                </c:pt>
                <c:pt idx="6">
                  <c:v>46234</c:v>
                </c:pt>
                <c:pt idx="7">
                  <c:v>46265</c:v>
                </c:pt>
                <c:pt idx="8">
                  <c:v>46295</c:v>
                </c:pt>
                <c:pt idx="9">
                  <c:v>46326</c:v>
                </c:pt>
                <c:pt idx="10">
                  <c:v>46356</c:v>
                </c:pt>
                <c:pt idx="11">
                  <c:v>46387</c:v>
                </c:pt>
                <c:pt idx="12">
                  <c:v>46418</c:v>
                </c:pt>
                <c:pt idx="13">
                  <c:v>46446</c:v>
                </c:pt>
                <c:pt idx="14">
                  <c:v>46477</c:v>
                </c:pt>
                <c:pt idx="15">
                  <c:v>46507</c:v>
                </c:pt>
                <c:pt idx="16">
                  <c:v>46538</c:v>
                </c:pt>
                <c:pt idx="17">
                  <c:v>46568</c:v>
                </c:pt>
                <c:pt idx="18">
                  <c:v>46599</c:v>
                </c:pt>
                <c:pt idx="19">
                  <c:v>46630</c:v>
                </c:pt>
                <c:pt idx="20">
                  <c:v>46660</c:v>
                </c:pt>
                <c:pt idx="21">
                  <c:v>46691</c:v>
                </c:pt>
                <c:pt idx="22">
                  <c:v>46721</c:v>
                </c:pt>
                <c:pt idx="23">
                  <c:v>46752</c:v>
                </c:pt>
              </c:numCache>
            </c:numRef>
          </c:cat>
          <c:val>
            <c:numRef>
              <c:f>'Executive Dashboard'!$AF$140:$BC$140</c:f>
              <c:numCache>
                <c:formatCode>_(#,##0.0%_);\(#,##0.0%\);_("–"_)_%;_(@_)_%</c:formatCode>
                <c:ptCount val="24"/>
                <c:pt idx="0">
                  <c:v>0.85153096630234515</c:v>
                </c:pt>
                <c:pt idx="1">
                  <c:v>0.85052710017801914</c:v>
                </c:pt>
                <c:pt idx="2">
                  <c:v>0.84953994764440854</c:v>
                </c:pt>
                <c:pt idx="3">
                  <c:v>0.84857279751777515</c:v>
                </c:pt>
                <c:pt idx="4">
                  <c:v>0.84762878554948373</c:v>
                </c:pt>
                <c:pt idx="5">
                  <c:v>0.84671090750023226</c:v>
                </c:pt>
                <c:pt idx="6">
                  <c:v>0.84582202810913298</c:v>
                </c:pt>
                <c:pt idx="7">
                  <c:v>0.84496488678930559</c:v>
                </c:pt>
                <c:pt idx="8">
                  <c:v>0.84414210071471951</c:v>
                </c:pt>
                <c:pt idx="9">
                  <c:v>0.84335616583755602</c:v>
                </c:pt>
                <c:pt idx="10">
                  <c:v>0.84260945628015882</c:v>
                </c:pt>
                <c:pt idx="11">
                  <c:v>0.84190422247259411</c:v>
                </c:pt>
                <c:pt idx="12">
                  <c:v>0.84239179297312117</c:v>
                </c:pt>
                <c:pt idx="13">
                  <c:v>0.84337455492136726</c:v>
                </c:pt>
                <c:pt idx="14">
                  <c:v>0.84421412711211674</c:v>
                </c:pt>
                <c:pt idx="15">
                  <c:v>0.84504152470839677</c:v>
                </c:pt>
                <c:pt idx="16">
                  <c:v>0.84586000235768177</c:v>
                </c:pt>
                <c:pt idx="17">
                  <c:v>0.84667244393693175</c:v>
                </c:pt>
                <c:pt idx="18">
                  <c:v>0.84748139946001155</c:v>
                </c:pt>
                <c:pt idx="19">
                  <c:v>0.8482891171304785</c:v>
                </c:pt>
                <c:pt idx="20">
                  <c:v>0.84909757135003727</c:v>
                </c:pt>
                <c:pt idx="21">
                  <c:v>0.84990848734669289</c:v>
                </c:pt>
                <c:pt idx="22">
                  <c:v>0.85072336296851181</c:v>
                </c:pt>
                <c:pt idx="23">
                  <c:v>0.85154348809297864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31-491A-85B7-42549B0607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8911104"/>
        <c:axId val="768910688"/>
      </c:lineChart>
      <c:lineChart>
        <c:grouping val="standard"/>
        <c:varyColors val="0"/>
        <c:ser>
          <c:idx val="1"/>
          <c:order val="1"/>
          <c:tx>
            <c:strRef>
              <c:f>'Executive Dashboard'!$AB$142</c:f>
              <c:strCache>
                <c:ptCount val="1"/>
                <c:pt idx="0">
                  <c:v>EBITDA Margin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'Executive Dashboard'!$AF$142:$BC$142</c:f>
              <c:numCache>
                <c:formatCode>_(#,##0.0%_);\(#,##0.0%\);_("–"_)_%;_(@_)_%</c:formatCode>
                <c:ptCount val="24"/>
                <c:pt idx="0">
                  <c:v>-4.7916542016544862E-2</c:v>
                </c:pt>
                <c:pt idx="1">
                  <c:v>-5.2680011333502356E-2</c:v>
                </c:pt>
                <c:pt idx="2">
                  <c:v>-5.7440187756242288E-2</c:v>
                </c:pt>
                <c:pt idx="3">
                  <c:v>-6.2162212618152766E-2</c:v>
                </c:pt>
                <c:pt idx="4">
                  <c:v>-6.681385318172893E-2</c:v>
                </c:pt>
                <c:pt idx="5">
                  <c:v>-7.1365179590277841E-2</c:v>
                </c:pt>
                <c:pt idx="6">
                  <c:v>-7.578831136200552E-2</c:v>
                </c:pt>
                <c:pt idx="7">
                  <c:v>-8.0057219368717444E-2</c:v>
                </c:pt>
                <c:pt idx="8">
                  <c:v>-8.4147572246762017E-2</c:v>
                </c:pt>
                <c:pt idx="9">
                  <c:v>-8.8036618455233848E-2</c:v>
                </c:pt>
                <c:pt idx="10">
                  <c:v>-9.1703096922577582E-2</c:v>
                </c:pt>
                <c:pt idx="11">
                  <c:v>-9.512717054895449E-2</c:v>
                </c:pt>
                <c:pt idx="12">
                  <c:v>-8.8090402787077027E-2</c:v>
                </c:pt>
                <c:pt idx="13">
                  <c:v>-7.6967172324570676E-2</c:v>
                </c:pt>
                <c:pt idx="14">
                  <c:v>-6.6202731725847661E-2</c:v>
                </c:pt>
                <c:pt idx="15">
                  <c:v>-5.563691201908396E-2</c:v>
                </c:pt>
                <c:pt idx="16">
                  <c:v>-4.5240574139661857E-2</c:v>
                </c:pt>
                <c:pt idx="17">
                  <c:v>-3.4987860277270869E-2</c:v>
                </c:pt>
                <c:pt idx="18">
                  <c:v>-2.4855847394172802E-2</c:v>
                </c:pt>
                <c:pt idx="19">
                  <c:v>-1.4824246709088192E-2</c:v>
                </c:pt>
                <c:pt idx="20">
                  <c:v>-4.8751416195661314E-3</c:v>
                </c:pt>
                <c:pt idx="21">
                  <c:v>5.0072421102667223E-3</c:v>
                </c:pt>
                <c:pt idx="22">
                  <c:v>1.2836738977462452E-2</c:v>
                </c:pt>
                <c:pt idx="23">
                  <c:v>2.0625423378781496E-2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431-491A-85B7-42549B0607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2142640"/>
        <c:axId val="782145552"/>
      </c:lineChart>
      <c:dateAx>
        <c:axId val="768911104"/>
        <c:scaling>
          <c:orientation val="minMax"/>
        </c:scaling>
        <c:delete val="0"/>
        <c:axPos val="b"/>
        <c:numFmt formatCode="mmm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910688"/>
        <c:crosses val="autoZero"/>
        <c:auto val="1"/>
        <c:lblOffset val="100"/>
        <c:baseTimeUnit val="months"/>
      </c:dateAx>
      <c:valAx>
        <c:axId val="768910688"/>
        <c:scaling>
          <c:orientation val="minMax"/>
        </c:scaling>
        <c:delete val="0"/>
        <c:axPos val="l"/>
        <c:numFmt formatCode="_(#,##0.0%_);\(#,##0.0%\);_(&quot;–&quot;_)_%;_(@_)_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911104"/>
        <c:crosses val="autoZero"/>
        <c:crossBetween val="between"/>
      </c:valAx>
      <c:valAx>
        <c:axId val="782145552"/>
        <c:scaling>
          <c:orientation val="minMax"/>
        </c:scaling>
        <c:delete val="0"/>
        <c:axPos val="r"/>
        <c:numFmt formatCode="_(#,##0.0%_);\(#,##0.0%\);_(&quot;–&quot;_)_%;_(@_)_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142640"/>
        <c:crosses val="max"/>
        <c:crossBetween val="between"/>
      </c:valAx>
      <c:catAx>
        <c:axId val="782142640"/>
        <c:scaling>
          <c:orientation val="minMax"/>
        </c:scaling>
        <c:delete val="1"/>
        <c:axPos val="b"/>
        <c:majorTickMark val="out"/>
        <c:minorTickMark val="none"/>
        <c:tickLblPos val="nextTo"/>
        <c:crossAx val="7821455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0754217460311128"/>
          <c:y val="4.9347331583552048E-2"/>
          <c:w val="0.3849155132705136"/>
          <c:h val="4.68753280839895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7015089766988811E-2"/>
          <c:y val="6.6319772528433948E-2"/>
          <c:w val="0.88596982046602235"/>
          <c:h val="0.8414628171478565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'Executive Dashboard'!$AB$145</c:f>
              <c:strCache>
                <c:ptCount val="1"/>
                <c:pt idx="0">
                  <c:v>Ending FTE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'Executive Dashboard'!$AF$131:$BC$131</c:f>
              <c:numCache>
                <c:formatCode>mmm_)</c:formatCode>
                <c:ptCount val="24"/>
                <c:pt idx="0">
                  <c:v>46053</c:v>
                </c:pt>
                <c:pt idx="1">
                  <c:v>46081</c:v>
                </c:pt>
                <c:pt idx="2">
                  <c:v>46112</c:v>
                </c:pt>
                <c:pt idx="3">
                  <c:v>46142</c:v>
                </c:pt>
                <c:pt idx="4">
                  <c:v>46173</c:v>
                </c:pt>
                <c:pt idx="5">
                  <c:v>46203</c:v>
                </c:pt>
                <c:pt idx="6">
                  <c:v>46234</c:v>
                </c:pt>
                <c:pt idx="7">
                  <c:v>46265</c:v>
                </c:pt>
                <c:pt idx="8">
                  <c:v>46295</c:v>
                </c:pt>
                <c:pt idx="9">
                  <c:v>46326</c:v>
                </c:pt>
                <c:pt idx="10">
                  <c:v>46356</c:v>
                </c:pt>
                <c:pt idx="11">
                  <c:v>46387</c:v>
                </c:pt>
                <c:pt idx="12">
                  <c:v>46418</c:v>
                </c:pt>
                <c:pt idx="13">
                  <c:v>46446</c:v>
                </c:pt>
                <c:pt idx="14">
                  <c:v>46477</c:v>
                </c:pt>
                <c:pt idx="15">
                  <c:v>46507</c:v>
                </c:pt>
                <c:pt idx="16">
                  <c:v>46538</c:v>
                </c:pt>
                <c:pt idx="17">
                  <c:v>46568</c:v>
                </c:pt>
                <c:pt idx="18">
                  <c:v>46599</c:v>
                </c:pt>
                <c:pt idx="19">
                  <c:v>46630</c:v>
                </c:pt>
                <c:pt idx="20">
                  <c:v>46660</c:v>
                </c:pt>
                <c:pt idx="21">
                  <c:v>46691</c:v>
                </c:pt>
                <c:pt idx="22">
                  <c:v>46721</c:v>
                </c:pt>
                <c:pt idx="23">
                  <c:v>46752</c:v>
                </c:pt>
              </c:numCache>
            </c:numRef>
          </c:cat>
          <c:val>
            <c:numRef>
              <c:f>'Executive Dashboard'!$AF$145:$BC$145</c:f>
              <c:numCache>
                <c:formatCode>_(#,##0_);\(#,##0\);_("–"_);_(@_)</c:formatCode>
                <c:ptCount val="24"/>
                <c:pt idx="0">
                  <c:v>97.8</c:v>
                </c:pt>
                <c:pt idx="1">
                  <c:v>100.6</c:v>
                </c:pt>
                <c:pt idx="2">
                  <c:v>103.39999999999999</c:v>
                </c:pt>
                <c:pt idx="3">
                  <c:v>106.19999999999999</c:v>
                </c:pt>
                <c:pt idx="4">
                  <c:v>108.99999999999999</c:v>
                </c:pt>
                <c:pt idx="5">
                  <c:v>111.79999999999998</c:v>
                </c:pt>
                <c:pt idx="6">
                  <c:v>114.59999999999998</c:v>
                </c:pt>
                <c:pt idx="7">
                  <c:v>117.39999999999998</c:v>
                </c:pt>
                <c:pt idx="8">
                  <c:v>120.19999999999997</c:v>
                </c:pt>
                <c:pt idx="9">
                  <c:v>122.99999999999997</c:v>
                </c:pt>
                <c:pt idx="10">
                  <c:v>125.79999999999997</c:v>
                </c:pt>
                <c:pt idx="11">
                  <c:v>128.59999999999997</c:v>
                </c:pt>
                <c:pt idx="12">
                  <c:v>129.94999999999996</c:v>
                </c:pt>
                <c:pt idx="13">
                  <c:v>131.34999999999997</c:v>
                </c:pt>
                <c:pt idx="14">
                  <c:v>132.74999999999997</c:v>
                </c:pt>
                <c:pt idx="15">
                  <c:v>134.14999999999998</c:v>
                </c:pt>
                <c:pt idx="16">
                  <c:v>135.54999999999998</c:v>
                </c:pt>
                <c:pt idx="17">
                  <c:v>136.94999999999999</c:v>
                </c:pt>
                <c:pt idx="18">
                  <c:v>138.35</c:v>
                </c:pt>
                <c:pt idx="19">
                  <c:v>139.75</c:v>
                </c:pt>
                <c:pt idx="20">
                  <c:v>141.15</c:v>
                </c:pt>
                <c:pt idx="21">
                  <c:v>142.55000000000001</c:v>
                </c:pt>
                <c:pt idx="22">
                  <c:v>143.95000000000002</c:v>
                </c:pt>
                <c:pt idx="23">
                  <c:v>145.35000000000002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FB-4913-90CD-759A86DC9F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-27"/>
        <c:axId val="391427216"/>
        <c:axId val="391427632"/>
      </c:barChart>
      <c:lineChart>
        <c:grouping val="standard"/>
        <c:varyColors val="0"/>
        <c:ser>
          <c:idx val="1"/>
          <c:order val="1"/>
          <c:tx>
            <c:strRef>
              <c:f>'Executive Dashboard'!$AB$146</c:f>
              <c:strCache>
                <c:ptCount val="1"/>
                <c:pt idx="0">
                  <c:v>Revenue per FTE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'Executive Dashboard'!$AF$131:$BC$131</c:f>
              <c:numCache>
                <c:formatCode>mmm_)</c:formatCode>
                <c:ptCount val="24"/>
                <c:pt idx="0">
                  <c:v>46053</c:v>
                </c:pt>
                <c:pt idx="1">
                  <c:v>46081</c:v>
                </c:pt>
                <c:pt idx="2">
                  <c:v>46112</c:v>
                </c:pt>
                <c:pt idx="3">
                  <c:v>46142</c:v>
                </c:pt>
                <c:pt idx="4">
                  <c:v>46173</c:v>
                </c:pt>
                <c:pt idx="5">
                  <c:v>46203</c:v>
                </c:pt>
                <c:pt idx="6">
                  <c:v>46234</c:v>
                </c:pt>
                <c:pt idx="7">
                  <c:v>46265</c:v>
                </c:pt>
                <c:pt idx="8">
                  <c:v>46295</c:v>
                </c:pt>
                <c:pt idx="9">
                  <c:v>46326</c:v>
                </c:pt>
                <c:pt idx="10">
                  <c:v>46356</c:v>
                </c:pt>
                <c:pt idx="11">
                  <c:v>46387</c:v>
                </c:pt>
                <c:pt idx="12">
                  <c:v>46418</c:v>
                </c:pt>
                <c:pt idx="13">
                  <c:v>46446</c:v>
                </c:pt>
                <c:pt idx="14">
                  <c:v>46477</c:v>
                </c:pt>
                <c:pt idx="15">
                  <c:v>46507</c:v>
                </c:pt>
                <c:pt idx="16">
                  <c:v>46538</c:v>
                </c:pt>
                <c:pt idx="17">
                  <c:v>46568</c:v>
                </c:pt>
                <c:pt idx="18">
                  <c:v>46599</c:v>
                </c:pt>
                <c:pt idx="19">
                  <c:v>46630</c:v>
                </c:pt>
                <c:pt idx="20">
                  <c:v>46660</c:v>
                </c:pt>
                <c:pt idx="21">
                  <c:v>46691</c:v>
                </c:pt>
                <c:pt idx="22">
                  <c:v>46721</c:v>
                </c:pt>
                <c:pt idx="23">
                  <c:v>46752</c:v>
                </c:pt>
              </c:numCache>
            </c:numRef>
          </c:cat>
          <c:val>
            <c:numRef>
              <c:f>'Executive Dashboard'!$AF$146:$BC$146</c:f>
              <c:numCache>
                <c:formatCode>_(#,##0_);\(#,##0\);_("–"_);_(@_)</c:formatCode>
                <c:ptCount val="24"/>
                <c:pt idx="0">
                  <c:v>113.6791867219917</c:v>
                </c:pt>
                <c:pt idx="1">
                  <c:v>112.94107875621292</c:v>
                </c:pt>
                <c:pt idx="2">
                  <c:v>112.21414832419046</c:v>
                </c:pt>
                <c:pt idx="3">
                  <c:v>111.50309076963327</c:v>
                </c:pt>
                <c:pt idx="4">
                  <c:v>110.81200089982401</c:v>
                </c:pt>
                <c:pt idx="5">
                  <c:v>110.14445706857518</c:v>
                </c:pt>
                <c:pt idx="6">
                  <c:v>109.50359259021826</c:v>
                </c:pt>
                <c:pt idx="7">
                  <c:v>108.8921566358198</c:v>
                </c:pt>
                <c:pt idx="8">
                  <c:v>108.31256635691658</c:v>
                </c:pt>
                <c:pt idx="9">
                  <c:v>107.76695166029508</c:v>
                </c:pt>
                <c:pt idx="10">
                  <c:v>107.25719380076583</c:v>
                </c:pt>
                <c:pt idx="11">
                  <c:v>106.78495875315345</c:v>
                </c:pt>
                <c:pt idx="12">
                  <c:v>107.45449814919526</c:v>
                </c:pt>
                <c:pt idx="13">
                  <c:v>108.70044612331033</c:v>
                </c:pt>
                <c:pt idx="14">
                  <c:v>109.92120447410078</c:v>
                </c:pt>
                <c:pt idx="15">
                  <c:v>111.14102909511868</c:v>
                </c:pt>
                <c:pt idx="16">
                  <c:v>112.36321914020368</c:v>
                </c:pt>
                <c:pt idx="17">
                  <c:v>113.59091424236402</c:v>
                </c:pt>
                <c:pt idx="18">
                  <c:v>114.8271066258289</c:v>
                </c:pt>
                <c:pt idx="19">
                  <c:v>116.07465241363968</c:v>
                </c:pt>
                <c:pt idx="20">
                  <c:v>117.33628219206406</c:v>
                </c:pt>
                <c:pt idx="21">
                  <c:v>118.61461088814029</c:v>
                </c:pt>
                <c:pt idx="22">
                  <c:v>119.91214701213214</c:v>
                </c:pt>
                <c:pt idx="23">
                  <c:v>121.23130131254376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FB-4913-90CD-759A86DC9F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4312464"/>
        <c:axId val="784310800"/>
      </c:lineChart>
      <c:dateAx>
        <c:axId val="3914272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/>
                  <a:t>2026                                                                                                                                    2027</a:t>
                </a:r>
              </a:p>
            </c:rich>
          </c:tx>
          <c:layout>
            <c:manualLayout>
              <c:xMode val="edge"/>
              <c:yMode val="edge"/>
              <c:x val="5.5700056091026934E-2"/>
              <c:y val="0.9645415573053368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427632"/>
        <c:crosses val="autoZero"/>
        <c:auto val="1"/>
        <c:lblOffset val="100"/>
        <c:baseTimeUnit val="months"/>
      </c:dateAx>
      <c:valAx>
        <c:axId val="391427632"/>
        <c:scaling>
          <c:orientation val="minMax"/>
        </c:scaling>
        <c:delete val="0"/>
        <c:axPos val="l"/>
        <c:numFmt formatCode="_(#,##0_);\(#,##0\);_(&quot;–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427216"/>
        <c:crosses val="autoZero"/>
        <c:crossBetween val="between"/>
      </c:valAx>
      <c:valAx>
        <c:axId val="784310800"/>
        <c:scaling>
          <c:orientation val="minMax"/>
        </c:scaling>
        <c:delete val="0"/>
        <c:axPos val="r"/>
        <c:numFmt formatCode="_(#,##0_);\(#,##0\);_(&quot;–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4312464"/>
        <c:crosses val="max"/>
        <c:crossBetween val="between"/>
      </c:valAx>
      <c:dateAx>
        <c:axId val="784312464"/>
        <c:scaling>
          <c:orientation val="minMax"/>
        </c:scaling>
        <c:delete val="1"/>
        <c:axPos val="b"/>
        <c:numFmt formatCode="mmm_)" sourceLinked="1"/>
        <c:majorTickMark val="out"/>
        <c:minorTickMark val="none"/>
        <c:tickLblPos val="nextTo"/>
        <c:crossAx val="784310800"/>
        <c:crosses val="autoZero"/>
        <c:auto val="1"/>
        <c:lblOffset val="100"/>
        <c:baseTimeUnit val="months"/>
      </c:dateAx>
      <c:spPr>
        <a:noFill/>
        <a:ln w="25400">
          <a:noFill/>
        </a:ln>
        <a:effectLst/>
      </c:spPr>
    </c:plotArea>
    <c:legend>
      <c:legendPos val="t"/>
      <c:layout>
        <c:manualLayout>
          <c:xMode val="edge"/>
          <c:yMode val="edge"/>
          <c:x val="0.34362040655734816"/>
          <c:y val="3.3333333333333333E-2"/>
          <c:w val="0.31275918688530369"/>
          <c:h val="4.68753280839895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'Executive Dashboard'!$AB$160</c:f>
              <c:strCache>
                <c:ptCount val="1"/>
                <c:pt idx="0">
                  <c:v>Rule of 40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'Executive Dashboard'!$AF$156:$AG$156</c:f>
              <c:strCache>
                <c:ptCount val="2"/>
                <c:pt idx="0">
                  <c:v>FY2026</c:v>
                </c:pt>
                <c:pt idx="1">
                  <c:v>FY2027</c:v>
                </c:pt>
              </c:strCache>
            </c:strRef>
          </c:cat>
          <c:val>
            <c:numRef>
              <c:f>'Executive Dashboard'!$AF$160:$AG$160</c:f>
              <c:numCache>
                <c:formatCode>_(#,##0.0%_);\(#,##0.0%\);_("–"_)_%;_(@_)_%</c:formatCode>
                <c:ptCount val="2"/>
                <c:pt idx="0">
                  <c:v>0.19448862355274568</c:v>
                </c:pt>
                <c:pt idx="1">
                  <c:v>0.26243890951835797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9A-4535-9FB0-94479702820D}"/>
            </c:ext>
          </c:extLst>
        </c:ser>
        <c:ser>
          <c:idx val="1"/>
          <c:order val="1"/>
          <c:tx>
            <c:strRef>
              <c:f>'Executive Dashboard'!$AB$158</c:f>
              <c:strCache>
                <c:ptCount val="1"/>
                <c:pt idx="0">
                  <c:v>ARR Growth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solidFill>
                <a:schemeClr val="bg1">
                  <a:lumMod val="65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'Executive Dashboard'!$AF$158:$AG$158</c:f>
              <c:numCache>
                <c:formatCode>_(#,##0.0%_);\(#,##0.0%\);_("–"_)_%;_(@_)_%</c:formatCode>
                <c:ptCount val="2"/>
                <c:pt idx="0">
                  <c:v>0.26825833365089768</c:v>
                </c:pt>
                <c:pt idx="1">
                  <c:v>0.29102903444461159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99A-4535-9FB0-94479702820D}"/>
            </c:ext>
          </c:extLst>
        </c:ser>
        <c:ser>
          <c:idx val="2"/>
          <c:order val="2"/>
          <c:tx>
            <c:strRef>
              <c:f>'Executive Dashboard'!$AB$159</c:f>
              <c:strCache>
                <c:ptCount val="1"/>
                <c:pt idx="0">
                  <c:v>EBITDA Margin %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accent2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'Executive Dashboard'!$AF$159:$AG$159</c:f>
              <c:numCache>
                <c:formatCode>_(#,##0.0%_);\(#,##0.0%\);_("–"_)_%;_(@_)_%</c:formatCode>
                <c:ptCount val="2"/>
                <c:pt idx="0">
                  <c:v>-7.3769710098152003E-2</c:v>
                </c:pt>
                <c:pt idx="1">
                  <c:v>-2.8590124926253641E-2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99A-4535-9FB0-9447970282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519407"/>
        <c:axId val="307510255"/>
      </c:barChart>
      <c:lineChart>
        <c:grouping val="standard"/>
        <c:varyColors val="0"/>
        <c:ser>
          <c:idx val="3"/>
          <c:order val="3"/>
          <c:tx>
            <c:strRef>
              <c:f>'Executive Dashboard'!$AB$161</c:f>
              <c:strCache>
                <c:ptCount val="1"/>
                <c:pt idx="0">
                  <c:v>Benchmark Rule of 40</c:v>
                </c:pt>
              </c:strCache>
            </c:strRef>
          </c:tx>
          <c:spPr>
            <a:ln w="28575" cap="rnd">
              <a:solidFill>
                <a:srgbClr val="0F172A"/>
              </a:solidFill>
              <a:prstDash val="sysDot"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'Executive Dashboard'!$AF$161:$AG$161</c:f>
              <c:numCache>
                <c:formatCode>_(#,##0.0%_);\(#,##0.0%\);_("–"_)_%;_(@_)_%</c:formatCode>
                <c:ptCount val="2"/>
                <c:pt idx="0">
                  <c:v>0.4</c:v>
                </c:pt>
                <c:pt idx="1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99A-4535-9FB0-9447970282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7519407"/>
        <c:axId val="307510255"/>
      </c:lineChart>
      <c:catAx>
        <c:axId val="307519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510255"/>
        <c:crosses val="autoZero"/>
        <c:auto val="1"/>
        <c:lblAlgn val="ctr"/>
        <c:lblOffset val="100"/>
        <c:noMultiLvlLbl val="0"/>
      </c:catAx>
      <c:valAx>
        <c:axId val="307510255"/>
        <c:scaling>
          <c:orientation val="minMax"/>
        </c:scaling>
        <c:delete val="1"/>
        <c:axPos val="l"/>
        <c:numFmt formatCode="_(#,##0.0%_);\(#,##0.0%\);_(&quot;–&quot;_)_%;_(@_)_%" sourceLinked="1"/>
        <c:majorTickMark val="none"/>
        <c:minorTickMark val="none"/>
        <c:tickLblPos val="nextTo"/>
        <c:crossAx val="307519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9446014081007928E-2"/>
          <c:y val="7.2101791623873104E-2"/>
          <c:w val="0.87159343113983889"/>
          <c:h val="0.83456989615428501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'Executive Dashboard'!$AB$226</c:f>
              <c:strCache>
                <c:ptCount val="1"/>
                <c:pt idx="0">
                  <c:v>Free Cash Flow</c:v>
                </c:pt>
              </c:strCache>
            </c:strRef>
          </c:tx>
          <c:spPr>
            <a:solidFill>
              <a:srgbClr val="3271D2"/>
            </a:solidFill>
            <a:ln>
              <a:noFill/>
            </a:ln>
            <a:effectLst/>
          </c:spPr>
          <c:invertIfNegative val="1"/>
          <c:cat>
            <c:numRef>
              <c:f>'Executive Dashboard'!$AF$221:$BC$221</c:f>
              <c:numCache>
                <c:formatCode>mmm_)</c:formatCode>
                <c:ptCount val="24"/>
                <c:pt idx="0">
                  <c:v>46053</c:v>
                </c:pt>
                <c:pt idx="1">
                  <c:v>46081</c:v>
                </c:pt>
                <c:pt idx="2">
                  <c:v>46112</c:v>
                </c:pt>
                <c:pt idx="3">
                  <c:v>46142</c:v>
                </c:pt>
                <c:pt idx="4">
                  <c:v>46173</c:v>
                </c:pt>
                <c:pt idx="5">
                  <c:v>46203</c:v>
                </c:pt>
                <c:pt idx="6">
                  <c:v>46234</c:v>
                </c:pt>
                <c:pt idx="7">
                  <c:v>46265</c:v>
                </c:pt>
                <c:pt idx="8">
                  <c:v>46295</c:v>
                </c:pt>
                <c:pt idx="9">
                  <c:v>46326</c:v>
                </c:pt>
                <c:pt idx="10">
                  <c:v>46356</c:v>
                </c:pt>
                <c:pt idx="11">
                  <c:v>46387</c:v>
                </c:pt>
                <c:pt idx="12">
                  <c:v>46418</c:v>
                </c:pt>
                <c:pt idx="13">
                  <c:v>46446</c:v>
                </c:pt>
                <c:pt idx="14">
                  <c:v>46477</c:v>
                </c:pt>
                <c:pt idx="15">
                  <c:v>46507</c:v>
                </c:pt>
                <c:pt idx="16">
                  <c:v>46538</c:v>
                </c:pt>
                <c:pt idx="17">
                  <c:v>46568</c:v>
                </c:pt>
                <c:pt idx="18">
                  <c:v>46599</c:v>
                </c:pt>
                <c:pt idx="19">
                  <c:v>46630</c:v>
                </c:pt>
                <c:pt idx="20">
                  <c:v>46660</c:v>
                </c:pt>
                <c:pt idx="21">
                  <c:v>46691</c:v>
                </c:pt>
                <c:pt idx="22">
                  <c:v>46721</c:v>
                </c:pt>
                <c:pt idx="23">
                  <c:v>46752</c:v>
                </c:pt>
              </c:numCache>
            </c:numRef>
          </c:cat>
          <c:val>
            <c:numRef>
              <c:f>'Executive Dashboard'!$AF$226:$BC$226</c:f>
              <c:numCache>
                <c:formatCode>_(#,##0_);\(#,##0\);_("–"_);_(@_)</c:formatCode>
                <c:ptCount val="24"/>
                <c:pt idx="0">
                  <c:v>4.2627159999999087</c:v>
                </c:pt>
                <c:pt idx="1">
                  <c:v>-3.7561331143944905</c:v>
                </c:pt>
                <c:pt idx="2">
                  <c:v>-10.443218528459955</c:v>
                </c:pt>
                <c:pt idx="3">
                  <c:v>-17.150978034105719</c:v>
                </c:pt>
                <c:pt idx="4">
                  <c:v>-23.849156908985695</c:v>
                </c:pt>
                <c:pt idx="5">
                  <c:v>-30.507882103056872</c:v>
                </c:pt>
                <c:pt idx="6">
                  <c:v>-37.097618784153326</c:v>
                </c:pt>
                <c:pt idx="7">
                  <c:v>-43.589127684986394</c:v>
                </c:pt>
                <c:pt idx="8">
                  <c:v>-49.953423192401033</c:v>
                </c:pt>
                <c:pt idx="9">
                  <c:v>-56.161732121012591</c:v>
                </c:pt>
                <c:pt idx="10">
                  <c:v>-62.18545311465418</c:v>
                </c:pt>
                <c:pt idx="11">
                  <c:v>-67.996116620255151</c:v>
                </c:pt>
                <c:pt idx="12">
                  <c:v>-49.047605679401698</c:v>
                </c:pt>
                <c:pt idx="13">
                  <c:v>-38.591335914755916</c:v>
                </c:pt>
                <c:pt idx="14">
                  <c:v>-27.638479577730166</c:v>
                </c:pt>
                <c:pt idx="15">
                  <c:v>-16.276177289972178</c:v>
                </c:pt>
                <c:pt idx="16">
                  <c:v>-4.47005306712974</c:v>
                </c:pt>
                <c:pt idx="17">
                  <c:v>7.8072026533887602</c:v>
                </c:pt>
                <c:pt idx="18">
                  <c:v>20.583215549657542</c:v>
                </c:pt>
                <c:pt idx="19">
                  <c:v>33.885954637331665</c:v>
                </c:pt>
                <c:pt idx="20">
                  <c:v>47.743759711406824</c:v>
                </c:pt>
                <c:pt idx="21">
                  <c:v>62.185369033216844</c:v>
                </c:pt>
                <c:pt idx="22">
                  <c:v>78.599825980672193</c:v>
                </c:pt>
                <c:pt idx="23">
                  <c:v>89.522946338805681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ED7D31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1-C909-423A-BC30-A920D6AA76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397788655"/>
        <c:axId val="397785743"/>
      </c:barChart>
      <c:lineChart>
        <c:grouping val="standard"/>
        <c:varyColors val="0"/>
        <c:ser>
          <c:idx val="0"/>
          <c:order val="0"/>
          <c:tx>
            <c:strRef>
              <c:f>'Executive Dashboard'!$AB$225</c:f>
              <c:strCache>
                <c:ptCount val="1"/>
                <c:pt idx="0">
                  <c:v>Ending Cash</c:v>
                </c:pt>
              </c:strCache>
            </c:strRef>
          </c:tx>
          <c:spPr>
            <a:ln w="28575" cap="rnd">
              <a:solidFill>
                <a:srgbClr val="0F172A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'Executive Dashboard'!$AF$221:$BC$221</c:f>
              <c:numCache>
                <c:formatCode>mmm_)</c:formatCode>
                <c:ptCount val="24"/>
                <c:pt idx="0">
                  <c:v>46053</c:v>
                </c:pt>
                <c:pt idx="1">
                  <c:v>46081</c:v>
                </c:pt>
                <c:pt idx="2">
                  <c:v>46112</c:v>
                </c:pt>
                <c:pt idx="3">
                  <c:v>46142</c:v>
                </c:pt>
                <c:pt idx="4">
                  <c:v>46173</c:v>
                </c:pt>
                <c:pt idx="5">
                  <c:v>46203</c:v>
                </c:pt>
                <c:pt idx="6">
                  <c:v>46234</c:v>
                </c:pt>
                <c:pt idx="7">
                  <c:v>46265</c:v>
                </c:pt>
                <c:pt idx="8">
                  <c:v>46295</c:v>
                </c:pt>
                <c:pt idx="9">
                  <c:v>46326</c:v>
                </c:pt>
                <c:pt idx="10">
                  <c:v>46356</c:v>
                </c:pt>
                <c:pt idx="11">
                  <c:v>46387</c:v>
                </c:pt>
                <c:pt idx="12">
                  <c:v>46418</c:v>
                </c:pt>
                <c:pt idx="13">
                  <c:v>46446</c:v>
                </c:pt>
                <c:pt idx="14">
                  <c:v>46477</c:v>
                </c:pt>
                <c:pt idx="15">
                  <c:v>46507</c:v>
                </c:pt>
                <c:pt idx="16">
                  <c:v>46538</c:v>
                </c:pt>
                <c:pt idx="17">
                  <c:v>46568</c:v>
                </c:pt>
                <c:pt idx="18">
                  <c:v>46599</c:v>
                </c:pt>
                <c:pt idx="19">
                  <c:v>46630</c:v>
                </c:pt>
                <c:pt idx="20">
                  <c:v>46660</c:v>
                </c:pt>
                <c:pt idx="21">
                  <c:v>46691</c:v>
                </c:pt>
                <c:pt idx="22">
                  <c:v>46721</c:v>
                </c:pt>
                <c:pt idx="23">
                  <c:v>46752</c:v>
                </c:pt>
              </c:numCache>
            </c:numRef>
          </c:cat>
          <c:val>
            <c:numRef>
              <c:f>'Executive Dashboard'!$AF$225:$BC$225</c:f>
              <c:numCache>
                <c:formatCode>_(#,##0_);\(#,##0\);_("–"_);_(@_)</c:formatCode>
                <c:ptCount val="24"/>
                <c:pt idx="0">
                  <c:v>3854.2627159999997</c:v>
                </c:pt>
                <c:pt idx="1">
                  <c:v>3850.5065828856054</c:v>
                </c:pt>
                <c:pt idx="2">
                  <c:v>3840.0633643571455</c:v>
                </c:pt>
                <c:pt idx="3">
                  <c:v>3822.9123863230398</c:v>
                </c:pt>
                <c:pt idx="4">
                  <c:v>3799.0632294140541</c:v>
                </c:pt>
                <c:pt idx="5">
                  <c:v>3768.5553473109971</c:v>
                </c:pt>
                <c:pt idx="6">
                  <c:v>3731.4577285268438</c:v>
                </c:pt>
                <c:pt idx="7">
                  <c:v>3687.8686008418572</c:v>
                </c:pt>
                <c:pt idx="8">
                  <c:v>3637.9151776494564</c:v>
                </c:pt>
                <c:pt idx="9">
                  <c:v>3581.753445528444</c:v>
                </c:pt>
                <c:pt idx="10">
                  <c:v>3519.5679924137899</c:v>
                </c:pt>
                <c:pt idx="11">
                  <c:v>3451.5718757935347</c:v>
                </c:pt>
                <c:pt idx="12">
                  <c:v>3402.5242701141328</c:v>
                </c:pt>
                <c:pt idx="13">
                  <c:v>3363.9329341993771</c:v>
                </c:pt>
                <c:pt idx="14">
                  <c:v>3336.2944546216468</c:v>
                </c:pt>
                <c:pt idx="15">
                  <c:v>3320.0182773316747</c:v>
                </c:pt>
                <c:pt idx="16">
                  <c:v>3315.5482242645448</c:v>
                </c:pt>
                <c:pt idx="17">
                  <c:v>3323.3554269179335</c:v>
                </c:pt>
                <c:pt idx="18">
                  <c:v>3343.9386424675909</c:v>
                </c:pt>
                <c:pt idx="19">
                  <c:v>3377.8245971049223</c:v>
                </c:pt>
                <c:pt idx="20">
                  <c:v>3425.568356816329</c:v>
                </c:pt>
                <c:pt idx="21">
                  <c:v>3487.7537258495458</c:v>
                </c:pt>
                <c:pt idx="22">
                  <c:v>3566.3535518302178</c:v>
                </c:pt>
                <c:pt idx="23">
                  <c:v>3655.8764981690233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09-423A-BC30-A920D6AA76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7791983"/>
        <c:axId val="397784079"/>
      </c:lineChart>
      <c:dateAx>
        <c:axId val="3977886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/>
                  <a:t>2026                  </a:t>
                </a:r>
                <a:r>
                  <a:rPr lang="en-US" sz="400"/>
                  <a:t> </a:t>
                </a:r>
                <a:r>
                  <a:rPr lang="en-US" sz="400" baseline="0"/>
                  <a:t> </a:t>
                </a:r>
                <a:r>
                  <a:rPr lang="en-US" sz="800"/>
                  <a:t>                                                                                                             </a:t>
                </a:r>
                <a:r>
                  <a:rPr lang="en-US" sz="800" baseline="0"/>
                  <a:t>     </a:t>
                </a:r>
                <a:r>
                  <a:rPr lang="en-US" sz="800"/>
                  <a:t>  2027</a:t>
                </a:r>
              </a:p>
            </c:rich>
          </c:tx>
          <c:layout>
            <c:manualLayout>
              <c:xMode val="edge"/>
              <c:yMode val="edge"/>
              <c:x val="5.9206720253718287E-2"/>
              <c:y val="0.9617245235649891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_)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785743"/>
        <c:crosses val="autoZero"/>
        <c:auto val="0"/>
        <c:lblOffset val="100"/>
        <c:baseTimeUnit val="months"/>
      </c:dateAx>
      <c:valAx>
        <c:axId val="397785743"/>
        <c:scaling>
          <c:orientation val="minMax"/>
        </c:scaling>
        <c:delete val="0"/>
        <c:axPos val="l"/>
        <c:numFmt formatCode="_(#,##0_);\(#,##0\);_(&quot;–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788655"/>
        <c:crosses val="autoZero"/>
        <c:crossBetween val="between"/>
      </c:valAx>
      <c:valAx>
        <c:axId val="397784079"/>
        <c:scaling>
          <c:orientation val="minMax"/>
        </c:scaling>
        <c:delete val="0"/>
        <c:axPos val="r"/>
        <c:numFmt formatCode="_(#,##0_);\(#,##0\);_(&quot;–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791983"/>
        <c:crosses val="max"/>
        <c:crossBetween val="between"/>
      </c:valAx>
      <c:dateAx>
        <c:axId val="397791983"/>
        <c:scaling>
          <c:orientation val="minMax"/>
        </c:scaling>
        <c:delete val="1"/>
        <c:axPos val="b"/>
        <c:numFmt formatCode="mmm_)" sourceLinked="1"/>
        <c:majorTickMark val="out"/>
        <c:minorTickMark val="none"/>
        <c:tickLblPos val="nextTo"/>
        <c:crossAx val="397784079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229166666666671E-2"/>
          <c:y val="9.8188748145612251E-2"/>
          <c:w val="0.9337847222222222"/>
          <c:h val="0.7801784776902887"/>
        </c:manualLayout>
      </c:layout>
      <c:lineChart>
        <c:grouping val="standard"/>
        <c:varyColors val="0"/>
        <c:ser>
          <c:idx val="0"/>
          <c:order val="0"/>
          <c:tx>
            <c:strRef>
              <c:f>'Executive Dashboard'!$AB$259</c:f>
              <c:strCache>
                <c:ptCount val="1"/>
                <c:pt idx="0">
                  <c:v>Pre-Funding Runway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'Executive Dashboard'!$AF$255:$BC$255</c:f>
              <c:numCache>
                <c:formatCode>mmm_)</c:formatCode>
                <c:ptCount val="24"/>
                <c:pt idx="0">
                  <c:v>46053</c:v>
                </c:pt>
                <c:pt idx="1">
                  <c:v>46081</c:v>
                </c:pt>
                <c:pt idx="2">
                  <c:v>46112</c:v>
                </c:pt>
                <c:pt idx="3">
                  <c:v>46142</c:v>
                </c:pt>
                <c:pt idx="4">
                  <c:v>46173</c:v>
                </c:pt>
                <c:pt idx="5">
                  <c:v>46203</c:v>
                </c:pt>
                <c:pt idx="6">
                  <c:v>46234</c:v>
                </c:pt>
                <c:pt idx="7">
                  <c:v>46265</c:v>
                </c:pt>
                <c:pt idx="8">
                  <c:v>46295</c:v>
                </c:pt>
                <c:pt idx="9">
                  <c:v>46326</c:v>
                </c:pt>
                <c:pt idx="10">
                  <c:v>46356</c:v>
                </c:pt>
                <c:pt idx="11">
                  <c:v>46387</c:v>
                </c:pt>
                <c:pt idx="12">
                  <c:v>46418</c:v>
                </c:pt>
                <c:pt idx="13">
                  <c:v>46446</c:v>
                </c:pt>
                <c:pt idx="14">
                  <c:v>46477</c:v>
                </c:pt>
                <c:pt idx="15">
                  <c:v>46507</c:v>
                </c:pt>
                <c:pt idx="16">
                  <c:v>46538</c:v>
                </c:pt>
                <c:pt idx="17">
                  <c:v>46568</c:v>
                </c:pt>
                <c:pt idx="18">
                  <c:v>46599</c:v>
                </c:pt>
                <c:pt idx="19">
                  <c:v>46630</c:v>
                </c:pt>
                <c:pt idx="20">
                  <c:v>46660</c:v>
                </c:pt>
                <c:pt idx="21">
                  <c:v>46691</c:v>
                </c:pt>
                <c:pt idx="22">
                  <c:v>46721</c:v>
                </c:pt>
                <c:pt idx="23">
                  <c:v>46752</c:v>
                </c:pt>
              </c:numCache>
            </c:numRef>
          </c:cat>
          <c:val>
            <c:numRef>
              <c:f>'Executive Dashboard'!$AF$259:$BC$259</c:f>
              <c:numCache>
                <c:formatCode>_(#,##0_);\(#,##0\);_("–"_);_(@_)</c:formatCode>
                <c:ptCount val="24"/>
                <c:pt idx="0">
                  <c:v>#N/A</c:v>
                </c:pt>
                <c:pt idx="1">
                  <c:v>36</c:v>
                </c:pt>
                <c:pt idx="2">
                  <c:v>36</c:v>
                </c:pt>
                <c:pt idx="3">
                  <c:v>36</c:v>
                </c:pt>
                <c:pt idx="4">
                  <c:v>36</c:v>
                </c:pt>
                <c:pt idx="5">
                  <c:v>36</c:v>
                </c:pt>
                <c:pt idx="6">
                  <c:v>36</c:v>
                </c:pt>
                <c:pt idx="7">
                  <c:v>36</c:v>
                </c:pt>
                <c:pt idx="8">
                  <c:v>36</c:v>
                </c:pt>
                <c:pt idx="9">
                  <c:v>36</c:v>
                </c:pt>
                <c:pt idx="10">
                  <c:v>36</c:v>
                </c:pt>
                <c:pt idx="11">
                  <c:v>36</c:v>
                </c:pt>
                <c:pt idx="12">
                  <c:v>36</c:v>
                </c:pt>
                <c:pt idx="13">
                  <c:v>36</c:v>
                </c:pt>
                <c:pt idx="14">
                  <c:v>36</c:v>
                </c:pt>
                <c:pt idx="15">
                  <c:v>36</c:v>
                </c:pt>
                <c:pt idx="16">
                  <c:v>36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8C-4ADC-9C44-17F9288E6517}"/>
            </c:ext>
          </c:extLst>
        </c:ser>
        <c:ser>
          <c:idx val="1"/>
          <c:order val="1"/>
          <c:tx>
            <c:strRef>
              <c:f>'Executive Dashboard'!$AB$260</c:f>
              <c:strCache>
                <c:ptCount val="1"/>
                <c:pt idx="0">
                  <c:v>Funding Threshold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'Executive Dashboard'!$AF$255:$BC$255</c:f>
              <c:numCache>
                <c:formatCode>mmm_)</c:formatCode>
                <c:ptCount val="24"/>
                <c:pt idx="0">
                  <c:v>46053</c:v>
                </c:pt>
                <c:pt idx="1">
                  <c:v>46081</c:v>
                </c:pt>
                <c:pt idx="2">
                  <c:v>46112</c:v>
                </c:pt>
                <c:pt idx="3">
                  <c:v>46142</c:v>
                </c:pt>
                <c:pt idx="4">
                  <c:v>46173</c:v>
                </c:pt>
                <c:pt idx="5">
                  <c:v>46203</c:v>
                </c:pt>
                <c:pt idx="6">
                  <c:v>46234</c:v>
                </c:pt>
                <c:pt idx="7">
                  <c:v>46265</c:v>
                </c:pt>
                <c:pt idx="8">
                  <c:v>46295</c:v>
                </c:pt>
                <c:pt idx="9">
                  <c:v>46326</c:v>
                </c:pt>
                <c:pt idx="10">
                  <c:v>46356</c:v>
                </c:pt>
                <c:pt idx="11">
                  <c:v>46387</c:v>
                </c:pt>
                <c:pt idx="12">
                  <c:v>46418</c:v>
                </c:pt>
                <c:pt idx="13">
                  <c:v>46446</c:v>
                </c:pt>
                <c:pt idx="14">
                  <c:v>46477</c:v>
                </c:pt>
                <c:pt idx="15">
                  <c:v>46507</c:v>
                </c:pt>
                <c:pt idx="16">
                  <c:v>46538</c:v>
                </c:pt>
                <c:pt idx="17">
                  <c:v>46568</c:v>
                </c:pt>
                <c:pt idx="18">
                  <c:v>46599</c:v>
                </c:pt>
                <c:pt idx="19">
                  <c:v>46630</c:v>
                </c:pt>
                <c:pt idx="20">
                  <c:v>46660</c:v>
                </c:pt>
                <c:pt idx="21">
                  <c:v>46691</c:v>
                </c:pt>
                <c:pt idx="22">
                  <c:v>46721</c:v>
                </c:pt>
                <c:pt idx="23">
                  <c:v>46752</c:v>
                </c:pt>
              </c:numCache>
            </c:numRef>
          </c:cat>
          <c:val>
            <c:numRef>
              <c:f>'Executive Dashboard'!$AF$260:$BC$260</c:f>
              <c:numCache>
                <c:formatCode>_(#,##0_);\(#,##0\);_("–"_);_(@_)</c:formatCode>
                <c:ptCount val="24"/>
                <c:pt idx="0">
                  <c:v>18</c:v>
                </c:pt>
                <c:pt idx="1">
                  <c:v>18</c:v>
                </c:pt>
                <c:pt idx="2">
                  <c:v>18</c:v>
                </c:pt>
                <c:pt idx="3">
                  <c:v>18</c:v>
                </c:pt>
                <c:pt idx="4">
                  <c:v>18</c:v>
                </c:pt>
                <c:pt idx="5">
                  <c:v>18</c:v>
                </c:pt>
                <c:pt idx="6">
                  <c:v>18</c:v>
                </c:pt>
                <c:pt idx="7">
                  <c:v>18</c:v>
                </c:pt>
                <c:pt idx="8">
                  <c:v>18</c:v>
                </c:pt>
                <c:pt idx="9">
                  <c:v>18</c:v>
                </c:pt>
                <c:pt idx="10">
                  <c:v>18</c:v>
                </c:pt>
                <c:pt idx="11">
                  <c:v>18</c:v>
                </c:pt>
                <c:pt idx="12">
                  <c:v>18</c:v>
                </c:pt>
                <c:pt idx="13">
                  <c:v>18</c:v>
                </c:pt>
                <c:pt idx="14">
                  <c:v>18</c:v>
                </c:pt>
                <c:pt idx="15">
                  <c:v>18</c:v>
                </c:pt>
                <c:pt idx="16">
                  <c:v>18</c:v>
                </c:pt>
                <c:pt idx="17">
                  <c:v>18</c:v>
                </c:pt>
                <c:pt idx="18">
                  <c:v>18</c:v>
                </c:pt>
                <c:pt idx="19">
                  <c:v>18</c:v>
                </c:pt>
                <c:pt idx="20">
                  <c:v>18</c:v>
                </c:pt>
                <c:pt idx="21">
                  <c:v>18</c:v>
                </c:pt>
                <c:pt idx="22">
                  <c:v>18</c:v>
                </c:pt>
                <c:pt idx="23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8C-4ADC-9C44-17F9288E65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37347999"/>
        <c:axId val="1537359647"/>
      </c:lineChart>
      <c:dateAx>
        <c:axId val="15373479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/>
                  <a:t>2026                                                                         </a:t>
                </a:r>
                <a:r>
                  <a:rPr lang="en-US" sz="800" baseline="0"/>
                  <a:t>  </a:t>
                </a:r>
                <a:r>
                  <a:rPr lang="en-US" sz="800"/>
                  <a:t>                                                                      2027</a:t>
                </a:r>
              </a:p>
            </c:rich>
          </c:tx>
          <c:layout>
            <c:manualLayout>
              <c:xMode val="edge"/>
              <c:yMode val="edge"/>
              <c:x val="3.9947903237536116E-2"/>
              <c:y val="0.9369129293620905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7359647"/>
        <c:crosses val="autoZero"/>
        <c:auto val="1"/>
        <c:lblOffset val="100"/>
        <c:baseTimeUnit val="months"/>
      </c:dateAx>
      <c:valAx>
        <c:axId val="1537359647"/>
        <c:scaling>
          <c:orientation val="minMax"/>
          <c:max val="38"/>
          <c:min val="10"/>
        </c:scaling>
        <c:delete val="0"/>
        <c:axPos val="l"/>
        <c:numFmt formatCode="_(#,##0_);\(#,##0\);_(&quot;–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7347999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LTV/CAC</a:t>
            </a:r>
            <a:r>
              <a:rPr lang="en-US" sz="1000" baseline="0"/>
              <a:t> (ratio)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0456852791878174E-2"/>
          <c:y val="0.17359218028780884"/>
          <c:w val="0.9255499153976311"/>
          <c:h val="0.6815901891573897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'Executive Dashboard'!$AF$150:$AM$150</c:f>
              <c:numCache>
                <c:formatCode>\Q0_)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4</c:v>
                </c:pt>
              </c:numCache>
            </c:numRef>
          </c:cat>
          <c:val>
            <c:numRef>
              <c:f>'Executive Dashboard'!$AF$151:$AM$151</c:f>
              <c:numCache>
                <c:formatCode>0.0\x_)</c:formatCode>
                <c:ptCount val="8"/>
                <c:pt idx="0">
                  <c:v>6.1479096902069088</c:v>
                </c:pt>
                <c:pt idx="1">
                  <c:v>5.716353103495341</c:v>
                </c:pt>
                <c:pt idx="2">
                  <c:v>5.4072673983645796</c:v>
                </c:pt>
                <c:pt idx="3">
                  <c:v>5.1932968555743315</c:v>
                </c:pt>
                <c:pt idx="4">
                  <c:v>5.9908885701267867</c:v>
                </c:pt>
                <c:pt idx="5">
                  <c:v>6.0432610605412904</c:v>
                </c:pt>
                <c:pt idx="6">
                  <c:v>6.1411451443273242</c:v>
                </c:pt>
                <c:pt idx="7">
                  <c:v>6.261525189795444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B9-40AD-9902-23A3E73ACF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-27"/>
        <c:axId val="81424384"/>
        <c:axId val="81416896"/>
      </c:barChart>
      <c:catAx>
        <c:axId val="81424384"/>
        <c:scaling>
          <c:orientation val="minMax"/>
        </c:scaling>
        <c:delete val="0"/>
        <c:axPos val="b"/>
        <c:numFmt formatCode="\Q0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16896"/>
        <c:crosses val="autoZero"/>
        <c:auto val="1"/>
        <c:lblAlgn val="ctr"/>
        <c:lblOffset val="100"/>
        <c:noMultiLvlLbl val="0"/>
      </c:catAx>
      <c:valAx>
        <c:axId val="81416896"/>
        <c:scaling>
          <c:orientation val="minMax"/>
        </c:scaling>
        <c:delete val="1"/>
        <c:axPos val="l"/>
        <c:numFmt formatCode="0.0\x_)" sourceLinked="1"/>
        <c:majorTickMark val="none"/>
        <c:minorTickMark val="none"/>
        <c:tickLblPos val="nextTo"/>
        <c:crossAx val="81424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CAC Payback (months)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0.0_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'Executive Dashboard'!$AF$150:$AM$150</c:f>
              <c:numCache>
                <c:formatCode>\Q0_)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4</c:v>
                </c:pt>
              </c:numCache>
            </c:numRef>
          </c:cat>
          <c:val>
            <c:numRef>
              <c:f>'Executive Dashboard'!$AF$152:$AM$152</c:f>
              <c:numCache>
                <c:formatCode>_(#,##0.0_);\(#,##0.0\);_("–"_);_(@_)</c:formatCode>
                <c:ptCount val="8"/>
                <c:pt idx="0">
                  <c:v>8.1328455555626817</c:v>
                </c:pt>
                <c:pt idx="1">
                  <c:v>8.746835455183275</c:v>
                </c:pt>
                <c:pt idx="2">
                  <c:v>9.2468147617634777</c:v>
                </c:pt>
                <c:pt idx="3">
                  <c:v>9.6277954814640481</c:v>
                </c:pt>
                <c:pt idx="4">
                  <c:v>9.2733414927094575</c:v>
                </c:pt>
                <c:pt idx="5">
                  <c:v>9.1929762753918656</c:v>
                </c:pt>
                <c:pt idx="6">
                  <c:v>9.0464488706757127</c:v>
                </c:pt>
                <c:pt idx="7">
                  <c:v>8.8725276784154374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33-4685-A061-0B9D3679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-27"/>
        <c:axId val="81424384"/>
        <c:axId val="81416896"/>
      </c:barChart>
      <c:catAx>
        <c:axId val="81424384"/>
        <c:scaling>
          <c:orientation val="minMax"/>
        </c:scaling>
        <c:delete val="0"/>
        <c:axPos val="b"/>
        <c:numFmt formatCode="\Q0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16896"/>
        <c:crosses val="autoZero"/>
        <c:auto val="1"/>
        <c:lblAlgn val="ctr"/>
        <c:lblOffset val="100"/>
        <c:noMultiLvlLbl val="0"/>
      </c:catAx>
      <c:valAx>
        <c:axId val="81416896"/>
        <c:scaling>
          <c:orientation val="minMax"/>
        </c:scaling>
        <c:delete val="1"/>
        <c:axPos val="l"/>
        <c:numFmt formatCode="_(#,##0.0_);\(#,##0.0\);_(&quot;–&quot;_);_(@_)" sourceLinked="1"/>
        <c:majorTickMark val="none"/>
        <c:minorTickMark val="none"/>
        <c:tickLblPos val="nextTo"/>
        <c:crossAx val="81424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Valuation!$L$260:$L$263</c:f>
              <c:strCache>
                <c:ptCount val="4"/>
                <c:pt idx="0">
                  <c:v>DCF - Perpetuity Method</c:v>
                </c:pt>
                <c:pt idx="1">
                  <c:v>DCF - Multiple Method</c:v>
                </c:pt>
                <c:pt idx="2">
                  <c:v>Precedent Transactions</c:v>
                </c:pt>
                <c:pt idx="3">
                  <c:v>Comparable Companies</c:v>
                </c:pt>
              </c:strCache>
            </c:strRef>
          </c:cat>
          <c:val>
            <c:numRef>
              <c:f>Valuation!$O$260:$O$263</c:f>
              <c:numCache>
                <c:formatCode>_(#,##0_);\(#,##0\);_("–"_);_(@_)</c:formatCode>
                <c:ptCount val="4"/>
                <c:pt idx="0">
                  <c:v>37620.690405190937</c:v>
                </c:pt>
                <c:pt idx="1">
                  <c:v>38117.227772286926</c:v>
                </c:pt>
                <c:pt idx="2">
                  <c:v>37772.974771851776</c:v>
                </c:pt>
                <c:pt idx="3">
                  <c:v>24234.913970709043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FDF-4A07-AFD2-106B334A926E}"/>
            </c:ext>
          </c:extLst>
        </c:ser>
        <c:ser>
          <c:idx val="1"/>
          <c:order val="1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Valuation!$L$260:$L$263</c:f>
              <c:strCache>
                <c:ptCount val="4"/>
                <c:pt idx="0">
                  <c:v>DCF - Perpetuity Method</c:v>
                </c:pt>
                <c:pt idx="1">
                  <c:v>DCF - Multiple Method</c:v>
                </c:pt>
                <c:pt idx="2">
                  <c:v>Precedent Transactions</c:v>
                </c:pt>
                <c:pt idx="3">
                  <c:v>Comparable Companies</c:v>
                </c:pt>
              </c:strCache>
            </c:strRef>
          </c:cat>
          <c:val>
            <c:numRef>
              <c:f>Valuation!$P$260:$P$263</c:f>
              <c:numCache>
                <c:formatCode>_(#,##0_);\(#,##0\);_("–"_);_(@_)</c:formatCode>
                <c:ptCount val="4"/>
                <c:pt idx="0">
                  <c:v>17936.099921000627</c:v>
                </c:pt>
                <c:pt idx="1">
                  <c:v>13291.245581135474</c:v>
                </c:pt>
                <c:pt idx="2">
                  <c:v>11071.389157266902</c:v>
                </c:pt>
                <c:pt idx="3">
                  <c:v>20383.732275349706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FDF-4A07-AFD2-106B334A926E}"/>
            </c:ext>
          </c:extLst>
        </c:ser>
        <c:ser>
          <c:idx val="2"/>
          <c:order val="2"/>
          <c:spPr>
            <a:noFill/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Valuation!$L$260:$L$263</c:f>
              <c:strCache>
                <c:ptCount val="4"/>
                <c:pt idx="0">
                  <c:v>DCF - Perpetuity Method</c:v>
                </c:pt>
                <c:pt idx="1">
                  <c:v>DCF - Multiple Method</c:v>
                </c:pt>
                <c:pt idx="2">
                  <c:v>Precedent Transactions</c:v>
                </c:pt>
                <c:pt idx="3">
                  <c:v>Comparable Companies</c:v>
                </c:pt>
              </c:strCache>
            </c:strRef>
          </c:cat>
          <c:val>
            <c:numRef>
              <c:f>Valuation!$Q$260:$Q$263</c:f>
              <c:numCache>
                <c:formatCode>_(#,##0_);\(#,##0\);_("–"_);_(@_)</c:formatCode>
                <c:ptCount val="4"/>
                <c:pt idx="0">
                  <c:v>55556.790326191564</c:v>
                </c:pt>
                <c:pt idx="1">
                  <c:v>51408.4733534224</c:v>
                </c:pt>
                <c:pt idx="2">
                  <c:v>48844.363929118677</c:v>
                </c:pt>
                <c:pt idx="3">
                  <c:v>44618.64624605875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FDF-4A07-AFD2-106B334A92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71447135"/>
        <c:axId val="271449215"/>
      </c:barChart>
      <c:catAx>
        <c:axId val="271447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1449215"/>
        <c:crosses val="autoZero"/>
        <c:auto val="1"/>
        <c:lblAlgn val="ctr"/>
        <c:lblOffset val="100"/>
        <c:noMultiLvlLbl val="0"/>
      </c:catAx>
      <c:valAx>
        <c:axId val="271449215"/>
        <c:scaling>
          <c:orientation val="minMax"/>
          <c:max val="70000"/>
          <c:min val="10000"/>
        </c:scaling>
        <c:delete val="0"/>
        <c:axPos val="l"/>
        <c:numFmt formatCode="_(#,##0_);\(#,##0\);_(&quot;–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1447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_xlchart.v5.2</cx:f>
      </cx:strDim>
      <cx:numDim type="val">
        <cx:f>_xlchart.v5.3</cx:f>
      </cx:numDim>
    </cx:data>
  </cx:chartData>
  <cx:chart>
    <cx:plotArea>
      <cx:plotAreaRegion>
        <cx:series layoutId="waterfall" uniqueId="{8F62EA67-E6EF-44A0-A025-C297605AEA99}">
          <cx:dataPt idx="1">
            <cx:spPr>
              <a:solidFill>
                <a:srgbClr val="0A1C3A"/>
              </a:solidFill>
              <a:ln>
                <a:solidFill>
                  <a:srgbClr val="0A1C3A"/>
                </a:solidFill>
              </a:ln>
            </cx:spPr>
          </cx:dataPt>
          <cx:dataLabels pos="outEnd">
            <cx:visibility seriesName="0" categoryName="0" value="1"/>
          </cx:dataLabels>
          <cx:dataId val="0"/>
          <cx:layoutPr>
            <cx:subtotals>
              <cx:idx val="3"/>
            </cx:subtotals>
          </cx:layoutPr>
        </cx:series>
      </cx:plotAreaRegion>
      <cx:axis id="0">
        <cx:catScaling gapWidth="0.800000012"/>
        <cx:tickLabels/>
      </cx:axis>
      <cx:axis id="1" hidden="1">
        <cx:valScaling/>
        <cx:tickLabels/>
      </cx:axis>
    </cx:plotArea>
  </cx:chart>
  <cx:spPr>
    <a:ln>
      <a:noFill/>
    </a:ln>
  </cx:spPr>
  <cx:fmtOvrs>
    <cx:fmtOvr idx="0"/>
  </cx:fmtOvrs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_xlchart.v5.0</cx:f>
      </cx:strDim>
      <cx:numDim type="val">
        <cx:f>_xlchart.v5.1</cx:f>
      </cx:numDim>
    </cx:data>
  </cx:chartData>
  <cx:chart>
    <cx:plotArea>
      <cx:plotAreaRegion>
        <cx:series layoutId="waterfall" uniqueId="{8F62EA67-E6EF-44A0-A025-C297605AEA99}">
          <cx:dataPt idx="1">
            <cx:spPr>
              <a:solidFill>
                <a:srgbClr val="0A1C3A"/>
              </a:solidFill>
              <a:ln>
                <a:solidFill>
                  <a:srgbClr val="0A1C3A"/>
                </a:solidFill>
              </a:ln>
            </cx:spPr>
          </cx:dataPt>
          <cx:dataLabels pos="outEnd">
            <cx:visibility seriesName="0" categoryName="0" value="1"/>
          </cx:dataLabels>
          <cx:dataId val="0"/>
          <cx:layoutPr>
            <cx:subtotals>
              <cx:idx val="3"/>
            </cx:subtotals>
          </cx:layoutPr>
        </cx:series>
      </cx:plotAreaRegion>
      <cx:axis id="0">
        <cx:catScaling gapWidth="0.800000012"/>
        <cx:tickLabels/>
      </cx:axis>
      <cx:axis id="1" hidden="1">
        <cx:valScaling/>
        <cx:tickLabels/>
      </cx:axis>
    </cx:plotArea>
  </cx:chart>
  <cx:spPr>
    <a:ln>
      <a:noFill/>
    </a:ln>
  </cx:spPr>
  <cx:fmtOvrs>
    <cx:fmtOvr idx="0"/>
  </cx:fmtOvrs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Drop" dropStyle="combo" dx="22" fmlaLink="Inputs!$D$8" fmlaRange="Inputs!$B$15:$B$17" noThreeD="1" sel="2" val="0"/>
</file>

<file path=xl/ctrlProps/ctrlProp2.xml><?xml version="1.0" encoding="utf-8"?>
<formControlPr xmlns="http://schemas.microsoft.com/office/spreadsheetml/2009/9/main" objectType="Drop" dropStyle="combo" dx="22" fmlaLink="$D$8" fmlaRange="$B$15:$B$17" noThreeD="1" sel="2" val="0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.xml"/><Relationship Id="rId13" Type="http://schemas.openxmlformats.org/officeDocument/2006/relationships/chart" Target="../charts/chart11.xml"/><Relationship Id="rId3" Type="http://schemas.microsoft.com/office/2014/relationships/chartEx" Target="../charts/chartEx1.xml"/><Relationship Id="rId7" Type="http://schemas.openxmlformats.org/officeDocument/2006/relationships/chart" Target="../charts/chart5.xml"/><Relationship Id="rId12" Type="http://schemas.openxmlformats.org/officeDocument/2006/relationships/chart" Target="../charts/chart10.xml"/><Relationship Id="rId17" Type="http://schemas.openxmlformats.org/officeDocument/2006/relationships/chart" Target="../charts/chart15.xml"/><Relationship Id="rId2" Type="http://schemas.openxmlformats.org/officeDocument/2006/relationships/chart" Target="../charts/chart2.xml"/><Relationship Id="rId16" Type="http://schemas.openxmlformats.org/officeDocument/2006/relationships/chart" Target="../charts/chart14.xml"/><Relationship Id="rId1" Type="http://schemas.openxmlformats.org/officeDocument/2006/relationships/chart" Target="../charts/chart1.xml"/><Relationship Id="rId6" Type="http://schemas.openxmlformats.org/officeDocument/2006/relationships/chart" Target="../charts/chart4.xml"/><Relationship Id="rId11" Type="http://schemas.openxmlformats.org/officeDocument/2006/relationships/chart" Target="../charts/chart9.xml"/><Relationship Id="rId5" Type="http://schemas.openxmlformats.org/officeDocument/2006/relationships/chart" Target="../charts/chart3.xml"/><Relationship Id="rId15" Type="http://schemas.openxmlformats.org/officeDocument/2006/relationships/chart" Target="../charts/chart13.xml"/><Relationship Id="rId10" Type="http://schemas.openxmlformats.org/officeDocument/2006/relationships/chart" Target="../charts/chart8.xml"/><Relationship Id="rId4" Type="http://schemas.microsoft.com/office/2014/relationships/chartEx" Target="../charts/chartEx2.xml"/><Relationship Id="rId9" Type="http://schemas.openxmlformats.org/officeDocument/2006/relationships/chart" Target="../charts/chart7.xml"/><Relationship Id="rId14" Type="http://schemas.openxmlformats.org/officeDocument/2006/relationships/chart" Target="../charts/chart1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289034</xdr:colOff>
      <xdr:row>11</xdr:row>
      <xdr:rowOff>9525</xdr:rowOff>
    </xdr:from>
    <xdr:to>
      <xdr:col>13</xdr:col>
      <xdr:colOff>0</xdr:colOff>
      <xdr:row>34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11</xdr:row>
      <xdr:rowOff>9525</xdr:rowOff>
    </xdr:from>
    <xdr:to>
      <xdr:col>26</xdr:col>
      <xdr:colOff>0</xdr:colOff>
      <xdr:row>34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542925</xdr:colOff>
          <xdr:row>6</xdr:row>
          <xdr:rowOff>0</xdr:rowOff>
        </xdr:from>
        <xdr:to>
          <xdr:col>5</xdr:col>
          <xdr:colOff>0</xdr:colOff>
          <xdr:row>7</xdr:row>
          <xdr:rowOff>0</xdr:rowOff>
        </xdr:to>
        <xdr:sp macro="" textlink="">
          <xdr:nvSpPr>
            <xdr:cNvPr id="2049" name="Drop Down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0</xdr:colOff>
      <xdr:row>72</xdr:row>
      <xdr:rowOff>0</xdr:rowOff>
    </xdr:from>
    <xdr:to>
      <xdr:col>13</xdr:col>
      <xdr:colOff>0</xdr:colOff>
      <xdr:row>95</xdr:row>
      <xdr:rowOff>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2" name="Chart 21">
              <a:extLst>
                <a:ext uri="{FF2B5EF4-FFF2-40B4-BE49-F238E27FC236}">
                  <a16:creationId xmlns:a16="http://schemas.microsoft.com/office/drawing/2014/main" id="{00000000-0008-0000-0100-000016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5750" y="14411325"/>
              <a:ext cx="7562850" cy="4381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0</xdr:colOff>
      <xdr:row>72</xdr:row>
      <xdr:rowOff>0</xdr:rowOff>
    </xdr:from>
    <xdr:to>
      <xdr:col>26</xdr:col>
      <xdr:colOff>0</xdr:colOff>
      <xdr:row>95</xdr:row>
      <xdr:rowOff>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3" name="Chart 22">
              <a:extLst>
                <a:ext uri="{FF2B5EF4-FFF2-40B4-BE49-F238E27FC236}">
                  <a16:creationId xmlns:a16="http://schemas.microsoft.com/office/drawing/2014/main" id="{00000000-0008-0000-0100-000017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334375" y="14411325"/>
              <a:ext cx="7315200" cy="4381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0</xdr:colOff>
      <xdr:row>100</xdr:row>
      <xdr:rowOff>0</xdr:rowOff>
    </xdr:from>
    <xdr:to>
      <xdr:col>13</xdr:col>
      <xdr:colOff>0</xdr:colOff>
      <xdr:row>122</xdr:row>
      <xdr:rowOff>180975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0</xdr:colOff>
      <xdr:row>38</xdr:row>
      <xdr:rowOff>0</xdr:rowOff>
    </xdr:from>
    <xdr:to>
      <xdr:col>12</xdr:col>
      <xdr:colOff>0</xdr:colOff>
      <xdr:row>61</xdr:row>
      <xdr:rowOff>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0</xdr:colOff>
      <xdr:row>38</xdr:row>
      <xdr:rowOff>0</xdr:rowOff>
    </xdr:from>
    <xdr:to>
      <xdr:col>25</xdr:col>
      <xdr:colOff>0</xdr:colOff>
      <xdr:row>61</xdr:row>
      <xdr:rowOff>0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0</xdr:colOff>
      <xdr:row>100</xdr:row>
      <xdr:rowOff>0</xdr:rowOff>
    </xdr:from>
    <xdr:to>
      <xdr:col>26</xdr:col>
      <xdr:colOff>0</xdr:colOff>
      <xdr:row>122</xdr:row>
      <xdr:rowOff>180975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0</xdr:colOff>
      <xdr:row>134</xdr:row>
      <xdr:rowOff>1</xdr:rowOff>
    </xdr:from>
    <xdr:to>
      <xdr:col>13</xdr:col>
      <xdr:colOff>0</xdr:colOff>
      <xdr:row>157</xdr:row>
      <xdr:rowOff>1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15</xdr:col>
      <xdr:colOff>0</xdr:colOff>
      <xdr:row>134</xdr:row>
      <xdr:rowOff>0</xdr:rowOff>
    </xdr:from>
    <xdr:to>
      <xdr:col>25</xdr:col>
      <xdr:colOff>0</xdr:colOff>
      <xdr:row>157</xdr:row>
      <xdr:rowOff>0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0</xdr:colOff>
      <xdr:row>162</xdr:row>
      <xdr:rowOff>0</xdr:rowOff>
    </xdr:from>
    <xdr:to>
      <xdr:col>13</xdr:col>
      <xdr:colOff>0</xdr:colOff>
      <xdr:row>185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13</xdr:col>
      <xdr:colOff>481852</xdr:colOff>
      <xdr:row>162</xdr:row>
      <xdr:rowOff>0</xdr:rowOff>
    </xdr:from>
    <xdr:to>
      <xdr:col>25</xdr:col>
      <xdr:colOff>605116</xdr:colOff>
      <xdr:row>185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</xdr:col>
      <xdr:colOff>0</xdr:colOff>
      <xdr:row>190</xdr:row>
      <xdr:rowOff>0</xdr:rowOff>
    </xdr:from>
    <xdr:to>
      <xdr:col>13</xdr:col>
      <xdr:colOff>0</xdr:colOff>
      <xdr:row>213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</xdr:col>
      <xdr:colOff>0</xdr:colOff>
      <xdr:row>224</xdr:row>
      <xdr:rowOff>0</xdr:rowOff>
    </xdr:from>
    <xdr:to>
      <xdr:col>13</xdr:col>
      <xdr:colOff>0</xdr:colOff>
      <xdr:row>247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</xdr:col>
      <xdr:colOff>0</xdr:colOff>
      <xdr:row>258</xdr:row>
      <xdr:rowOff>0</xdr:rowOff>
    </xdr:from>
    <xdr:to>
      <xdr:col>13</xdr:col>
      <xdr:colOff>0</xdr:colOff>
      <xdr:row>281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19</xdr:col>
      <xdr:colOff>1</xdr:colOff>
      <xdr:row>201</xdr:row>
      <xdr:rowOff>0</xdr:rowOff>
    </xdr:from>
    <xdr:to>
      <xdr:col>24</xdr:col>
      <xdr:colOff>200025</xdr:colOff>
      <xdr:row>211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19</xdr:col>
      <xdr:colOff>0</xdr:colOff>
      <xdr:row>190</xdr:row>
      <xdr:rowOff>0</xdr:rowOff>
    </xdr:from>
    <xdr:to>
      <xdr:col>24</xdr:col>
      <xdr:colOff>180975</xdr:colOff>
      <xdr:row>199</xdr:row>
      <xdr:rowOff>190499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20</xdr:col>
      <xdr:colOff>523874</xdr:colOff>
      <xdr:row>210</xdr:row>
      <xdr:rowOff>161925</xdr:rowOff>
    </xdr:from>
    <xdr:to>
      <xdr:col>25</xdr:col>
      <xdr:colOff>495299</xdr:colOff>
      <xdr:row>212</xdr:row>
      <xdr:rowOff>66675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/>
      </xdr:nvSpPr>
      <xdr:spPr>
        <a:xfrm>
          <a:off x="12515849" y="40938450"/>
          <a:ext cx="3019425" cy="285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>
              <a:solidFill>
                <a:schemeClr val="tx1">
                  <a:lumMod val="50000"/>
                  <a:lumOff val="50000"/>
                </a:schemeClr>
              </a:solidFill>
            </a:rPr>
            <a:t>2026                                                  2027</a:t>
          </a:r>
        </a:p>
      </xdr:txBody>
    </xdr:sp>
    <xdr:clientData/>
  </xdr:twoCellAnchor>
  <xdr:twoCellAnchor>
    <xdr:from>
      <xdr:col>20</xdr:col>
      <xdr:colOff>533400</xdr:colOff>
      <xdr:row>199</xdr:row>
      <xdr:rowOff>133350</xdr:rowOff>
    </xdr:from>
    <xdr:to>
      <xdr:col>25</xdr:col>
      <xdr:colOff>504825</xdr:colOff>
      <xdr:row>201</xdr:row>
      <xdr:rowOff>38100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 txBox="1"/>
      </xdr:nvSpPr>
      <xdr:spPr>
        <a:xfrm>
          <a:off x="12525375" y="38814375"/>
          <a:ext cx="3019425" cy="285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>
              <a:solidFill>
                <a:schemeClr val="tx1">
                  <a:lumMod val="50000"/>
                  <a:lumOff val="50000"/>
                </a:schemeClr>
              </a:solidFill>
            </a:rPr>
            <a:t>2026                                                 2027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1285875</xdr:colOff>
          <xdr:row>7</xdr:row>
          <xdr:rowOff>0</xdr:rowOff>
        </xdr:from>
        <xdr:to>
          <xdr:col>3</xdr:col>
          <xdr:colOff>628650</xdr:colOff>
          <xdr:row>8</xdr:row>
          <xdr:rowOff>0</xdr:rowOff>
        </xdr:to>
        <xdr:sp macro="" textlink="">
          <xdr:nvSpPr>
            <xdr:cNvPr id="1025" name="Drop Dow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2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249</xdr:row>
      <xdr:rowOff>0</xdr:rowOff>
    </xdr:from>
    <xdr:to>
      <xdr:col>9</xdr:col>
      <xdr:colOff>114300</xdr:colOff>
      <xdr:row>267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0.11261</cdr:x>
      <cdr:y>0.44262</cdr:y>
    </cdr:from>
    <cdr:to>
      <cdr:x>0.95294</cdr:x>
      <cdr:y>0.44262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FEFE76C7-BD63-41A0-ABBE-5CEA583634B3}"/>
            </a:ext>
          </a:extLst>
        </cdr:cNvPr>
        <cdr:cNvCxnSpPr/>
      </cdr:nvCxnSpPr>
      <cdr:spPr>
        <a:xfrm xmlns:a="http://schemas.openxmlformats.org/drawingml/2006/main">
          <a:off x="638175" y="1543050"/>
          <a:ext cx="4762500" cy="0"/>
        </a:xfrm>
        <a:prstGeom xmlns:a="http://schemas.openxmlformats.org/drawingml/2006/main" prst="line">
          <a:avLst/>
        </a:prstGeom>
        <a:ln xmlns:a="http://schemas.openxmlformats.org/drawingml/2006/main" w="28575">
          <a:solidFill>
            <a:srgbClr val="ED7D31"/>
          </a:solidFill>
          <a:prstDash val="sys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0.57815</cdr:x>
      <cdr:y>0.10656</cdr:y>
    </cdr:from>
    <cdr:to>
      <cdr:x>0.71261</cdr:x>
      <cdr:y>0.18852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7080764A-508B-4AE0-9DF4-E555F4976ABB}"/>
            </a:ext>
          </a:extLst>
        </cdr:cNvPr>
        <cdr:cNvSpPr txBox="1"/>
      </cdr:nvSpPr>
      <cdr:spPr>
        <a:xfrm xmlns:a="http://schemas.openxmlformats.org/drawingml/2006/main">
          <a:off x="3276600" y="371475"/>
          <a:ext cx="762000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0.51597</cdr:x>
      <cdr:y>0.58311</cdr:y>
    </cdr:from>
    <cdr:to>
      <cdr:x>0.85042</cdr:x>
      <cdr:y>0.7139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4CA4AB16-4125-4D68-AAA1-9A756411B94C}"/>
            </a:ext>
          </a:extLst>
        </cdr:cNvPr>
        <cdr:cNvSpPr txBox="1"/>
      </cdr:nvSpPr>
      <cdr:spPr>
        <a:xfrm xmlns:a="http://schemas.openxmlformats.org/drawingml/2006/main">
          <a:off x="2924175" y="2038350"/>
          <a:ext cx="1895475" cy="4572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b="1">
              <a:solidFill>
                <a:srgbClr val="ED7D31"/>
              </a:solidFill>
            </a:rPr>
            <a:t>Average Valuation:</a:t>
          </a:r>
          <a:r>
            <a:rPr lang="en-US" sz="1100" b="1" baseline="0">
              <a:solidFill>
                <a:srgbClr val="ED7D31"/>
              </a:solidFill>
            </a:rPr>
            <a:t> 41.437</a:t>
          </a:r>
          <a:endParaRPr lang="en-US" sz="1100" b="1">
            <a:solidFill>
              <a:srgbClr val="ED7D3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Gale.suer@outlook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trlProp" Target="../ctrlProps/ctrlProp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85D65-2577-4ABA-9DDD-2AA25E803A63}">
  <sheetPr>
    <pageSetUpPr autoPageBreaks="0"/>
  </sheetPr>
  <dimension ref="B1:AB37"/>
  <sheetViews>
    <sheetView showGridLines="0" tabSelected="1" zoomScale="80" zoomScaleNormal="80" zoomScaleSheetLayoutView="100" workbookViewId="0">
      <selection activeCell="AA26" sqref="AA26"/>
    </sheetView>
  </sheetViews>
  <sheetFormatPr defaultRowHeight="15" x14ac:dyDescent="0.3"/>
  <cols>
    <col min="1" max="1" width="4.5703125" customWidth="1"/>
    <col min="2" max="3" width="5.7109375" customWidth="1"/>
    <col min="4" max="4" width="12" bestFit="1" customWidth="1"/>
    <col min="6" max="6" width="2.85546875" customWidth="1"/>
    <col min="8" max="8" width="13.85546875" customWidth="1"/>
    <col min="9" max="9" width="12" customWidth="1"/>
    <col min="10" max="10" width="13.5703125" customWidth="1"/>
    <col min="11" max="11" width="19.85546875" customWidth="1"/>
    <col min="12" max="12" width="8.85546875" customWidth="1"/>
    <col min="14" max="14" width="11.85546875" customWidth="1"/>
    <col min="17" max="17" width="3.7109375" customWidth="1"/>
    <col min="18" max="18" width="9" customWidth="1"/>
    <col min="20" max="21" width="5.7109375" customWidth="1"/>
  </cols>
  <sheetData>
    <row r="1" spans="2:28" ht="15.75" thickBot="1" x14ac:dyDescent="0.35"/>
    <row r="2" spans="2:28" x14ac:dyDescent="0.3">
      <c r="B2" s="12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4"/>
      <c r="W2" s="7"/>
      <c r="X2" s="7"/>
      <c r="Y2" s="7"/>
      <c r="Z2" s="7"/>
      <c r="AA2" s="7"/>
      <c r="AB2" s="7"/>
    </row>
    <row r="3" spans="2:28" x14ac:dyDescent="0.3">
      <c r="B3" s="15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7"/>
      <c r="W3" s="7"/>
      <c r="X3" s="7"/>
      <c r="Y3" s="7"/>
      <c r="Z3" s="7"/>
      <c r="AA3" s="7"/>
      <c r="AB3" s="7"/>
    </row>
    <row r="4" spans="2:28" x14ac:dyDescent="0.3">
      <c r="B4" s="18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7"/>
      <c r="W4" s="8" t="s">
        <v>0</v>
      </c>
      <c r="X4" s="9"/>
      <c r="Y4" s="9"/>
      <c r="Z4" s="7"/>
      <c r="AA4" s="7"/>
      <c r="AB4" s="7"/>
    </row>
    <row r="5" spans="2:28" ht="30" x14ac:dyDescent="0.55000000000000004">
      <c r="B5" s="32"/>
      <c r="C5" s="65"/>
      <c r="D5" s="143" t="s">
        <v>1</v>
      </c>
      <c r="E5" s="16"/>
      <c r="F5" s="16"/>
      <c r="G5" s="16"/>
      <c r="H5" s="16"/>
      <c r="I5" s="16"/>
      <c r="J5" s="16"/>
      <c r="K5" s="16"/>
      <c r="L5" s="34"/>
      <c r="M5" s="16"/>
      <c r="N5" s="16"/>
      <c r="O5" s="16"/>
      <c r="P5" s="16"/>
      <c r="Q5" s="16"/>
      <c r="R5" s="16"/>
      <c r="S5" s="16"/>
      <c r="T5" s="16"/>
      <c r="U5" s="17"/>
      <c r="W5" s="9"/>
      <c r="X5" s="9"/>
      <c r="Y5" s="9"/>
      <c r="Z5" s="7"/>
      <c r="AA5" s="7"/>
      <c r="AB5" s="7"/>
    </row>
    <row r="6" spans="2:28" ht="30" x14ac:dyDescent="0.55000000000000004">
      <c r="B6" s="33"/>
      <c r="C6" s="66"/>
      <c r="D6" s="144" t="s">
        <v>367</v>
      </c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7"/>
      <c r="W6" s="9"/>
      <c r="X6" s="9"/>
      <c r="Y6" s="9"/>
      <c r="Z6" s="7"/>
      <c r="AA6" s="7"/>
      <c r="AB6" s="7"/>
    </row>
    <row r="7" spans="2:28" x14ac:dyDescent="0.3">
      <c r="B7" s="15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7"/>
      <c r="W7" s="7"/>
      <c r="X7" s="7"/>
      <c r="Y7" s="7"/>
      <c r="Z7" s="7"/>
      <c r="AA7" s="7"/>
      <c r="AB7" s="7"/>
    </row>
    <row r="8" spans="2:28" x14ac:dyDescent="0.3">
      <c r="B8" s="15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7"/>
      <c r="W8" s="7"/>
      <c r="X8" s="7"/>
      <c r="Y8" s="7"/>
      <c r="Z8" s="7"/>
      <c r="AA8" s="7"/>
      <c r="AB8" s="7"/>
    </row>
    <row r="9" spans="2:28" x14ac:dyDescent="0.3">
      <c r="B9" s="15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7"/>
      <c r="W9" s="7"/>
      <c r="X9" s="7"/>
      <c r="Y9" s="7"/>
      <c r="Z9" s="7"/>
      <c r="AA9" s="7"/>
      <c r="AB9" s="7"/>
    </row>
    <row r="10" spans="2:28" x14ac:dyDescent="0.3">
      <c r="B10" s="24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5"/>
      <c r="W10" s="7"/>
      <c r="X10" s="7"/>
      <c r="Y10" s="7"/>
      <c r="Z10" s="7"/>
      <c r="AA10" s="7"/>
      <c r="AB10" s="7"/>
    </row>
    <row r="11" spans="2:28" x14ac:dyDescent="0.3">
      <c r="B11" s="24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5"/>
      <c r="W11" s="7"/>
      <c r="X11" s="7"/>
      <c r="Y11" s="7"/>
      <c r="Z11" s="7"/>
      <c r="AA11" s="7"/>
      <c r="AB11" s="7"/>
    </row>
    <row r="12" spans="2:28" ht="30" x14ac:dyDescent="0.55000000000000004">
      <c r="B12" s="24"/>
      <c r="C12" s="68"/>
      <c r="D12" s="68" t="s">
        <v>368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5"/>
      <c r="W12" s="7"/>
      <c r="X12" s="7"/>
      <c r="Y12" s="7"/>
      <c r="Z12" s="7"/>
      <c r="AA12" s="7"/>
      <c r="AB12" s="7"/>
    </row>
    <row r="13" spans="2:28" ht="21" x14ac:dyDescent="0.4">
      <c r="B13" s="24"/>
      <c r="C13" s="67"/>
      <c r="D13" s="67" t="s">
        <v>278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5"/>
      <c r="W13" s="7"/>
      <c r="X13" s="7"/>
      <c r="Y13" s="7"/>
      <c r="Z13" s="7"/>
      <c r="AA13" s="7"/>
      <c r="AB13" s="7"/>
    </row>
    <row r="14" spans="2:28" ht="21" x14ac:dyDescent="0.4">
      <c r="B14" s="24"/>
      <c r="C14" s="67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5"/>
      <c r="W14" s="7"/>
      <c r="X14" s="7"/>
      <c r="Y14" s="7"/>
      <c r="Z14" s="7"/>
      <c r="AA14" s="7"/>
      <c r="AB14" s="7"/>
    </row>
    <row r="15" spans="2:28" ht="21" x14ac:dyDescent="0.4">
      <c r="B15" s="24"/>
      <c r="C15" s="67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5"/>
      <c r="W15" s="7"/>
      <c r="X15" s="7"/>
      <c r="Y15" s="7"/>
      <c r="Z15" s="7"/>
      <c r="AA15" s="7"/>
      <c r="AB15" s="7"/>
    </row>
    <row r="16" spans="2:28" ht="21" x14ac:dyDescent="0.4">
      <c r="B16" s="24"/>
      <c r="C16" s="67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5"/>
      <c r="W16" s="7"/>
      <c r="X16" s="7"/>
      <c r="Y16" s="7"/>
      <c r="Z16" s="7"/>
      <c r="AA16" s="7"/>
      <c r="AB16" s="7"/>
    </row>
    <row r="17" spans="2:28" ht="21" x14ac:dyDescent="0.4">
      <c r="B17" s="24"/>
      <c r="C17" s="69"/>
      <c r="D17" s="35" t="s">
        <v>333</v>
      </c>
      <c r="E17" s="30"/>
      <c r="F17" s="142"/>
      <c r="G17" s="2"/>
      <c r="H17" s="2"/>
      <c r="I17" s="2"/>
      <c r="J17" s="2"/>
      <c r="K17" s="2"/>
      <c r="L17" s="35" t="s">
        <v>146</v>
      </c>
      <c r="M17" s="36"/>
      <c r="N17" s="36"/>
      <c r="O17" s="36"/>
      <c r="P17" s="142"/>
      <c r="Q17" s="142"/>
      <c r="R17" s="142"/>
      <c r="S17" s="2"/>
      <c r="T17" s="2"/>
      <c r="U17" s="25"/>
      <c r="W17" s="7"/>
      <c r="X17" s="7"/>
      <c r="Y17" s="7"/>
      <c r="Z17" s="7"/>
      <c r="AA17" s="7"/>
      <c r="AB17" s="7"/>
    </row>
    <row r="18" spans="2:28" x14ac:dyDescent="0.3">
      <c r="B18" s="24"/>
      <c r="C18" s="31"/>
      <c r="D18" s="31"/>
      <c r="E18" s="31"/>
      <c r="F18" s="2"/>
      <c r="G18" s="2"/>
      <c r="H18" s="2"/>
      <c r="I18" s="2"/>
      <c r="J18" s="2"/>
      <c r="K18" s="2"/>
      <c r="L18" s="31"/>
      <c r="M18" s="31"/>
      <c r="N18" s="31"/>
      <c r="O18" s="31"/>
      <c r="P18" s="2"/>
      <c r="Q18" s="2"/>
      <c r="R18" s="2"/>
      <c r="S18" s="2"/>
      <c r="T18" s="2"/>
      <c r="U18" s="25"/>
      <c r="W18" s="7"/>
      <c r="X18" s="7"/>
      <c r="Y18" s="7"/>
      <c r="Z18" s="7"/>
      <c r="AA18" s="7"/>
      <c r="AB18" s="7"/>
    </row>
    <row r="19" spans="2:28" ht="21" x14ac:dyDescent="0.4">
      <c r="B19" s="24"/>
      <c r="C19" s="74"/>
      <c r="D19" s="148" t="s">
        <v>252</v>
      </c>
      <c r="E19" s="31"/>
      <c r="F19" s="2"/>
      <c r="G19" s="31"/>
      <c r="H19" s="31"/>
      <c r="I19" s="31"/>
      <c r="J19" s="31"/>
      <c r="K19" s="31"/>
      <c r="L19" s="74" t="s">
        <v>157</v>
      </c>
      <c r="M19" s="23"/>
      <c r="N19" s="37"/>
      <c r="O19" s="37"/>
      <c r="P19" s="37"/>
      <c r="Q19" s="37"/>
      <c r="R19" s="147">
        <f ca="1">IF(SUM('Operational Model'!G78:AD78)&lt;&gt;0,1,0)</f>
        <v>0</v>
      </c>
      <c r="S19" s="37"/>
      <c r="T19" s="69"/>
      <c r="U19" s="25"/>
      <c r="W19" s="7"/>
      <c r="X19" s="7"/>
      <c r="Y19" s="7"/>
      <c r="Z19" s="7"/>
      <c r="AA19" s="7"/>
      <c r="AB19" s="7"/>
    </row>
    <row r="20" spans="2:28" ht="18" x14ac:dyDescent="0.35">
      <c r="B20" s="24"/>
      <c r="C20" s="74"/>
      <c r="D20" s="148" t="s">
        <v>107</v>
      </c>
      <c r="E20" s="31"/>
      <c r="F20" s="31"/>
      <c r="G20" s="31"/>
      <c r="H20" s="31"/>
      <c r="I20" s="31"/>
      <c r="J20" s="31"/>
      <c r="K20" s="31"/>
      <c r="L20" s="74" t="s">
        <v>158</v>
      </c>
      <c r="M20" s="23"/>
      <c r="N20" s="37"/>
      <c r="O20" s="37"/>
      <c r="P20" s="37"/>
      <c r="Q20" s="37"/>
      <c r="R20" s="147">
        <f ca="1">IF(SUM('Operational Model'!G118:AD118)&lt;&gt;0,1,0)</f>
        <v>0</v>
      </c>
      <c r="S20" s="37"/>
      <c r="T20" s="37"/>
      <c r="U20" s="25"/>
      <c r="W20" s="7"/>
      <c r="X20" s="7"/>
      <c r="Y20" s="7"/>
      <c r="Z20" s="7"/>
      <c r="AA20" s="7"/>
      <c r="AB20" s="7"/>
    </row>
    <row r="21" spans="2:28" ht="18" x14ac:dyDescent="0.35">
      <c r="B21" s="24"/>
      <c r="C21" s="74"/>
      <c r="D21" s="148" t="s">
        <v>364</v>
      </c>
      <c r="E21" s="31"/>
      <c r="F21" s="31"/>
      <c r="G21" s="31"/>
      <c r="H21" s="31"/>
      <c r="I21" s="31"/>
      <c r="J21" s="31"/>
      <c r="K21" s="31"/>
      <c r="L21" s="74" t="s">
        <v>43</v>
      </c>
      <c r="M21" s="23"/>
      <c r="N21" s="37"/>
      <c r="O21" s="37"/>
      <c r="P21" s="37"/>
      <c r="Q21" s="37"/>
      <c r="R21" s="147">
        <f>IF(SUM('Operational Model'!G166:AD166)&lt;&gt;0,1,0)</f>
        <v>0</v>
      </c>
      <c r="S21" s="37"/>
      <c r="T21" s="37"/>
      <c r="U21" s="25"/>
      <c r="W21" s="7"/>
      <c r="X21" s="7"/>
      <c r="Y21" s="7"/>
      <c r="Z21" s="7"/>
      <c r="AA21" s="7"/>
      <c r="AB21" s="7"/>
    </row>
    <row r="22" spans="2:28" ht="18" x14ac:dyDescent="0.35">
      <c r="B22" s="24"/>
      <c r="C22" s="31"/>
      <c r="D22" s="148" t="s">
        <v>365</v>
      </c>
      <c r="E22" s="31"/>
      <c r="F22" s="31"/>
      <c r="G22" s="31"/>
      <c r="H22" s="31"/>
      <c r="I22" s="31"/>
      <c r="J22" s="31"/>
      <c r="K22" s="31"/>
      <c r="L22" s="74" t="s">
        <v>77</v>
      </c>
      <c r="M22" s="37"/>
      <c r="N22" s="37"/>
      <c r="O22" s="37"/>
      <c r="P22" s="37"/>
      <c r="Q22" s="37"/>
      <c r="R22" s="147">
        <f>IF(SUM('Operational Model'!G263:AD264)&lt;&gt;0,1,0)</f>
        <v>0</v>
      </c>
      <c r="S22" s="37"/>
      <c r="T22" s="37"/>
      <c r="U22" s="25"/>
      <c r="W22" s="7"/>
      <c r="X22" s="7"/>
      <c r="Y22" s="7"/>
      <c r="Z22" s="7"/>
      <c r="AA22" s="7"/>
      <c r="AB22" s="7"/>
    </row>
    <row r="23" spans="2:28" ht="18" x14ac:dyDescent="0.35">
      <c r="B23" s="24"/>
      <c r="C23" s="31"/>
      <c r="D23" s="31"/>
      <c r="E23" s="31"/>
      <c r="F23" s="31"/>
      <c r="G23" s="31"/>
      <c r="H23" s="31"/>
      <c r="I23" s="31"/>
      <c r="J23" s="31"/>
      <c r="K23" s="31"/>
      <c r="L23" s="74" t="s">
        <v>155</v>
      </c>
      <c r="M23" s="37"/>
      <c r="N23" s="37"/>
      <c r="O23" s="37"/>
      <c r="P23" s="37"/>
      <c r="Q23" s="37"/>
      <c r="R23" s="147">
        <f ca="1">IF(SUM('Operational Model'!G345:AD349)&lt;&gt;0,1,0)</f>
        <v>0</v>
      </c>
      <c r="S23" s="37"/>
      <c r="T23" s="37"/>
      <c r="U23" s="25"/>
      <c r="W23" s="7"/>
      <c r="X23" s="7"/>
      <c r="Y23" s="7"/>
      <c r="Z23" s="7"/>
      <c r="AA23" s="7"/>
      <c r="AB23" s="7"/>
    </row>
    <row r="24" spans="2:28" ht="18" x14ac:dyDescent="0.35">
      <c r="B24" s="24"/>
      <c r="C24" s="22"/>
      <c r="D24" s="22"/>
      <c r="E24" s="22"/>
      <c r="F24" s="31"/>
      <c r="G24" s="22"/>
      <c r="H24" s="22"/>
      <c r="I24" s="22"/>
      <c r="J24" s="22"/>
      <c r="K24" s="22"/>
      <c r="L24" s="74" t="s">
        <v>218</v>
      </c>
      <c r="M24" s="37"/>
      <c r="N24" s="37"/>
      <c r="O24" s="37"/>
      <c r="P24" s="37"/>
      <c r="Q24" s="37"/>
      <c r="R24" s="147">
        <f>IF(SUM('Operational Model'!G422:AD423)&lt;&gt;0,1,0)</f>
        <v>0</v>
      </c>
      <c r="S24" s="37"/>
      <c r="T24" s="37"/>
      <c r="U24" s="25"/>
      <c r="W24" s="7"/>
      <c r="X24" s="7"/>
      <c r="Y24" s="7"/>
      <c r="Z24" s="7"/>
      <c r="AA24" s="7"/>
      <c r="AB24" s="7"/>
    </row>
    <row r="25" spans="2:28" ht="18" x14ac:dyDescent="0.35">
      <c r="B25" s="24"/>
      <c r="C25" s="2"/>
      <c r="D25" s="2"/>
      <c r="E25" s="2"/>
      <c r="F25" s="2"/>
      <c r="G25" s="2"/>
      <c r="H25" s="2"/>
      <c r="I25" s="2"/>
      <c r="J25" s="2"/>
      <c r="K25" s="2"/>
      <c r="L25" s="74" t="s">
        <v>219</v>
      </c>
      <c r="M25" s="37"/>
      <c r="N25" s="37"/>
      <c r="O25" s="37"/>
      <c r="P25" s="37"/>
      <c r="Q25" s="37"/>
      <c r="R25" s="147">
        <f>IF(SUM('Operational Model'!G464:AD464)&lt;&gt;0,1,0)</f>
        <v>0</v>
      </c>
      <c r="S25" s="37"/>
      <c r="T25" s="37"/>
      <c r="U25" s="25"/>
      <c r="W25" s="7"/>
      <c r="X25" s="7"/>
      <c r="Y25" s="7"/>
      <c r="Z25" s="7"/>
      <c r="AA25" s="7"/>
      <c r="AB25" s="7"/>
    </row>
    <row r="26" spans="2:28" x14ac:dyDescent="0.3">
      <c r="B26" s="24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37"/>
      <c r="O26" s="37"/>
      <c r="P26" s="37"/>
      <c r="Q26" s="37"/>
      <c r="R26" s="37"/>
      <c r="S26" s="37"/>
      <c r="T26" s="37"/>
      <c r="U26" s="25"/>
      <c r="W26" s="7"/>
      <c r="X26" s="7"/>
      <c r="Y26" s="7"/>
      <c r="Z26" s="7"/>
      <c r="AA26" s="7"/>
      <c r="AB26" s="7"/>
    </row>
    <row r="27" spans="2:28" x14ac:dyDescent="0.3">
      <c r="B27" s="24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37"/>
      <c r="O27" s="37"/>
      <c r="P27" s="37"/>
      <c r="Q27" s="37"/>
      <c r="R27" s="37"/>
      <c r="S27" s="37"/>
      <c r="T27" s="37"/>
      <c r="U27" s="25"/>
      <c r="W27" s="7"/>
      <c r="X27" s="7"/>
      <c r="Y27" s="7"/>
      <c r="Z27" s="7"/>
      <c r="AA27" s="7"/>
      <c r="AB27" s="7"/>
    </row>
    <row r="28" spans="2:28" x14ac:dyDescent="0.3">
      <c r="B28" s="24"/>
      <c r="C28" s="2"/>
      <c r="D28" s="2"/>
      <c r="E28" s="2"/>
      <c r="F28" s="2"/>
      <c r="G28" s="2"/>
      <c r="H28" s="2"/>
      <c r="I28" s="2"/>
      <c r="J28" s="3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25"/>
      <c r="W28" s="7"/>
      <c r="X28" s="7"/>
      <c r="Y28" s="7"/>
      <c r="Z28" s="7"/>
      <c r="AA28" s="7"/>
      <c r="AB28" s="7"/>
    </row>
    <row r="29" spans="2:28" x14ac:dyDescent="0.3">
      <c r="B29" s="24"/>
      <c r="C29" s="71"/>
      <c r="D29" s="11"/>
      <c r="E29" s="11"/>
      <c r="F29" s="11"/>
      <c r="G29" s="11"/>
      <c r="H29" s="11"/>
      <c r="I29" s="11"/>
      <c r="J29" s="16"/>
      <c r="K29" s="11"/>
      <c r="L29" s="11"/>
      <c r="M29" s="11"/>
      <c r="N29" s="11"/>
      <c r="O29" s="16"/>
      <c r="P29" s="11"/>
      <c r="Q29" s="11"/>
      <c r="R29" s="11"/>
      <c r="S29" s="11"/>
      <c r="T29" s="11"/>
      <c r="U29" s="25"/>
      <c r="W29" s="7"/>
      <c r="X29" s="7"/>
      <c r="Y29" s="7"/>
      <c r="Z29" s="7"/>
      <c r="AA29" s="7"/>
      <c r="AB29" s="7"/>
    </row>
    <row r="30" spans="2:28" x14ac:dyDescent="0.3">
      <c r="B30" s="24"/>
      <c r="C30" s="73"/>
      <c r="D30" s="140" t="s">
        <v>253</v>
      </c>
      <c r="E30" s="11"/>
      <c r="F30" s="11"/>
      <c r="G30" s="11"/>
      <c r="H30" s="11"/>
      <c r="I30" s="11"/>
      <c r="J30" s="11"/>
      <c r="K30" s="11"/>
      <c r="L30" s="70" t="s">
        <v>329</v>
      </c>
      <c r="M30" s="11"/>
      <c r="N30" s="11"/>
      <c r="O30" s="16"/>
      <c r="P30" s="11"/>
      <c r="Q30" s="11"/>
      <c r="R30" s="11"/>
      <c r="S30" s="11"/>
      <c r="T30" s="11"/>
      <c r="U30" s="25"/>
      <c r="W30" s="7"/>
      <c r="X30" s="7"/>
      <c r="Y30" s="7"/>
      <c r="Z30" s="7"/>
      <c r="AA30" s="7"/>
      <c r="AB30" s="7"/>
    </row>
    <row r="31" spans="2:28" x14ac:dyDescent="0.3">
      <c r="B31" s="24"/>
      <c r="C31" s="72"/>
      <c r="D31" s="141"/>
      <c r="E31" s="139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25"/>
      <c r="W31" s="7"/>
      <c r="X31" s="7"/>
      <c r="Y31" s="7"/>
      <c r="Z31" s="7"/>
      <c r="AA31" s="7"/>
      <c r="AB31" s="7"/>
    </row>
    <row r="32" spans="2:28" x14ac:dyDescent="0.3">
      <c r="B32" s="24"/>
      <c r="C32" s="72"/>
      <c r="D32" s="141" t="s">
        <v>15</v>
      </c>
      <c r="E32" s="145" t="s">
        <v>18</v>
      </c>
      <c r="F32" s="16"/>
      <c r="G32" s="16"/>
      <c r="H32" s="16"/>
      <c r="I32" s="16"/>
      <c r="J32" s="16"/>
      <c r="K32" s="16"/>
      <c r="L32" s="16" t="s">
        <v>330</v>
      </c>
      <c r="M32" s="16"/>
      <c r="N32" s="16"/>
      <c r="O32" s="16"/>
      <c r="P32" s="16"/>
      <c r="Q32" s="16"/>
      <c r="R32" s="16"/>
      <c r="S32" s="16"/>
      <c r="T32" s="16"/>
      <c r="U32" s="25"/>
      <c r="W32" s="7"/>
      <c r="X32" s="7"/>
      <c r="Y32" s="7"/>
      <c r="Z32" s="7"/>
      <c r="AA32" s="7"/>
      <c r="AB32" s="7"/>
    </row>
    <row r="33" spans="2:28" x14ac:dyDescent="0.3">
      <c r="B33" s="24"/>
      <c r="C33" s="72"/>
      <c r="D33" s="141" t="s">
        <v>16</v>
      </c>
      <c r="E33" s="146" t="s">
        <v>17</v>
      </c>
      <c r="F33" s="16"/>
      <c r="G33" s="16"/>
      <c r="H33" s="16"/>
      <c r="I33" s="16"/>
      <c r="J33" s="16"/>
      <c r="K33" s="16"/>
      <c r="L33" s="16" t="s">
        <v>366</v>
      </c>
      <c r="M33" s="16"/>
      <c r="N33" s="16"/>
      <c r="O33" s="16"/>
      <c r="P33" s="16"/>
      <c r="Q33" s="16"/>
      <c r="R33" s="16"/>
      <c r="S33" s="16"/>
      <c r="T33" s="16"/>
      <c r="U33" s="25"/>
      <c r="W33" s="7"/>
      <c r="X33" s="7"/>
      <c r="Y33" s="7"/>
      <c r="Z33" s="7"/>
      <c r="AA33" s="7"/>
      <c r="AB33" s="7"/>
    </row>
    <row r="34" spans="2:28" x14ac:dyDescent="0.3">
      <c r="B34" s="24"/>
      <c r="C34" s="72"/>
      <c r="D34" s="141"/>
      <c r="E34" s="407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25"/>
      <c r="W34" s="7"/>
      <c r="X34" s="7"/>
      <c r="Y34" s="7"/>
      <c r="Z34" s="7"/>
      <c r="AA34" s="7"/>
      <c r="AB34" s="7"/>
    </row>
    <row r="35" spans="2:28" x14ac:dyDescent="0.3">
      <c r="B35" s="24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25"/>
      <c r="W35" s="7"/>
      <c r="X35" s="7"/>
      <c r="Y35" s="7"/>
      <c r="Z35" s="7"/>
      <c r="AA35" s="7"/>
      <c r="AB35" s="7"/>
    </row>
    <row r="36" spans="2:28" ht="15.75" thickBot="1" x14ac:dyDescent="0.35">
      <c r="B36" s="27"/>
      <c r="C36" s="28"/>
      <c r="D36" s="28"/>
      <c r="E36" s="28"/>
      <c r="F36" s="28"/>
      <c r="G36" s="28"/>
      <c r="H36" s="28"/>
      <c r="I36" s="28"/>
      <c r="J36" s="29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6"/>
      <c r="W36" s="7"/>
      <c r="X36" s="7"/>
      <c r="Y36" s="7"/>
      <c r="Z36" s="7"/>
      <c r="AA36" s="7"/>
      <c r="AB36" s="7"/>
    </row>
    <row r="37" spans="2:28" x14ac:dyDescent="0.3"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</row>
  </sheetData>
  <hyperlinks>
    <hyperlink ref="D19" location="'Executive Dashboard'!A1" display="Executive Dashboard" xr:uid="{3BD2A545-B9DC-4BCC-B94F-2BD9B168ECAF}"/>
    <hyperlink ref="D20" location="Inputs!A1" display="Inputs" xr:uid="{615807D7-4954-40C7-9571-2878224E8E2F}"/>
    <hyperlink ref="D21" location="'Operational Model'!A1" display="Operational Model" xr:uid="{9644C48E-56D0-475B-8EC2-168BE0C52074}"/>
    <hyperlink ref="E33" r:id="rId1" xr:uid="{97DDBE4C-B616-47E8-B25E-61D12E9CD8A3}"/>
    <hyperlink ref="D22" location="Valuation!A1" display="Valuation" xr:uid="{1BE13CE3-F3BB-4536-B087-344398F3E29B}"/>
  </hyperlink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C406F-4900-458F-9F53-A4F27DC07B68}">
  <dimension ref="A1:BC327"/>
  <sheetViews>
    <sheetView showGridLines="0" zoomScaleNormal="100" workbookViewId="0">
      <selection activeCell="D6" sqref="D6"/>
    </sheetView>
  </sheetViews>
  <sheetFormatPr defaultRowHeight="15" x14ac:dyDescent="0.3"/>
  <cols>
    <col min="1" max="1" width="4.28515625" customWidth="1"/>
    <col min="8" max="8" width="11" bestFit="1" customWidth="1"/>
    <col min="10" max="10" width="11" bestFit="1" customWidth="1"/>
    <col min="14" max="14" width="7.28515625" customWidth="1"/>
    <col min="32" max="32" width="9.140625" style="54" customWidth="1"/>
    <col min="33" max="55" width="9.140625" style="54"/>
  </cols>
  <sheetData>
    <row r="1" spans="1:55" ht="57.75" customHeight="1" x14ac:dyDescent="0.3">
      <c r="B1" s="10" t="s">
        <v>369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</row>
    <row r="2" spans="1:55" x14ac:dyDescent="0.3"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</row>
    <row r="3" spans="1:55" ht="21" x14ac:dyDescent="0.3">
      <c r="A3" t="s">
        <v>33</v>
      </c>
      <c r="B3" s="5" t="s">
        <v>148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B3" s="5" t="s">
        <v>151</v>
      </c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</row>
    <row r="4" spans="1:55" x14ac:dyDescent="0.3"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</row>
    <row r="5" spans="1:55" x14ac:dyDescent="0.3">
      <c r="B5" s="38" t="s">
        <v>24</v>
      </c>
      <c r="AB5" s="38" t="s">
        <v>24</v>
      </c>
      <c r="AF5" s="47">
        <v>2026</v>
      </c>
      <c r="AG5" s="48">
        <v>2026</v>
      </c>
      <c r="AH5" s="49">
        <v>2026</v>
      </c>
      <c r="AI5" s="48">
        <v>2026</v>
      </c>
      <c r="AJ5" s="48">
        <v>2026</v>
      </c>
      <c r="AK5" s="49">
        <v>2026</v>
      </c>
      <c r="AL5" s="48">
        <v>2026</v>
      </c>
      <c r="AM5" s="48">
        <v>2026</v>
      </c>
      <c r="AN5" s="49">
        <v>2026</v>
      </c>
      <c r="AO5" s="48">
        <v>2026</v>
      </c>
      <c r="AP5" s="48">
        <v>2026</v>
      </c>
      <c r="AQ5" s="50">
        <v>2026</v>
      </c>
      <c r="AR5" s="48">
        <v>2027</v>
      </c>
      <c r="AS5" s="48">
        <v>2027</v>
      </c>
      <c r="AT5" s="49">
        <v>2027</v>
      </c>
      <c r="AU5" s="48">
        <v>2027</v>
      </c>
      <c r="AV5" s="48">
        <v>2027</v>
      </c>
      <c r="AW5" s="49">
        <v>2027</v>
      </c>
      <c r="AX5" s="48">
        <v>2027</v>
      </c>
      <c r="AY5" s="48">
        <v>2027</v>
      </c>
      <c r="AZ5" s="49">
        <v>2027</v>
      </c>
      <c r="BA5" s="48">
        <v>2027</v>
      </c>
      <c r="BB5" s="48">
        <v>2027</v>
      </c>
      <c r="BC5" s="50">
        <v>2027</v>
      </c>
    </row>
    <row r="6" spans="1:55" x14ac:dyDescent="0.3">
      <c r="B6" s="38"/>
      <c r="AF6" s="40">
        <v>1</v>
      </c>
      <c r="AG6" s="39">
        <v>1</v>
      </c>
      <c r="AH6" s="45">
        <v>1</v>
      </c>
      <c r="AI6" s="39">
        <v>2</v>
      </c>
      <c r="AJ6" s="39">
        <v>2</v>
      </c>
      <c r="AK6" s="45">
        <v>2</v>
      </c>
      <c r="AL6" s="39">
        <v>3</v>
      </c>
      <c r="AM6" s="39">
        <v>3</v>
      </c>
      <c r="AN6" s="45">
        <v>3</v>
      </c>
      <c r="AO6" s="39">
        <v>4</v>
      </c>
      <c r="AP6" s="39">
        <v>4</v>
      </c>
      <c r="AQ6" s="41">
        <v>4</v>
      </c>
      <c r="AR6" s="39">
        <v>1</v>
      </c>
      <c r="AS6" s="39">
        <v>1</v>
      </c>
      <c r="AT6" s="45">
        <v>1</v>
      </c>
      <c r="AU6" s="39">
        <v>2</v>
      </c>
      <c r="AV6" s="39">
        <v>2</v>
      </c>
      <c r="AW6" s="45">
        <v>2</v>
      </c>
      <c r="AX6" s="39">
        <v>3</v>
      </c>
      <c r="AY6" s="39">
        <v>3</v>
      </c>
      <c r="AZ6" s="45">
        <v>3</v>
      </c>
      <c r="BA6" s="39">
        <v>4</v>
      </c>
      <c r="BB6" s="39">
        <v>4</v>
      </c>
      <c r="BC6" s="41">
        <v>4</v>
      </c>
    </row>
    <row r="7" spans="1:55" x14ac:dyDescent="0.3">
      <c r="B7" s="56" t="s">
        <v>32</v>
      </c>
      <c r="AF7" s="42">
        <v>46053</v>
      </c>
      <c r="AG7" s="43">
        <v>46081</v>
      </c>
      <c r="AH7" s="46">
        <v>46112</v>
      </c>
      <c r="AI7" s="43">
        <v>46142</v>
      </c>
      <c r="AJ7" s="43">
        <v>46173</v>
      </c>
      <c r="AK7" s="46">
        <v>46203</v>
      </c>
      <c r="AL7" s="43">
        <v>46234</v>
      </c>
      <c r="AM7" s="43">
        <v>46265</v>
      </c>
      <c r="AN7" s="46">
        <v>46295</v>
      </c>
      <c r="AO7" s="43">
        <v>46326</v>
      </c>
      <c r="AP7" s="43">
        <v>46356</v>
      </c>
      <c r="AQ7" s="44">
        <v>46387</v>
      </c>
      <c r="AR7" s="43">
        <v>46418</v>
      </c>
      <c r="AS7" s="43">
        <v>46446</v>
      </c>
      <c r="AT7" s="46">
        <v>46477</v>
      </c>
      <c r="AU7" s="43">
        <v>46507</v>
      </c>
      <c r="AV7" s="43">
        <v>46538</v>
      </c>
      <c r="AW7" s="46">
        <v>46568</v>
      </c>
      <c r="AX7" s="43">
        <v>46599</v>
      </c>
      <c r="AY7" s="43">
        <v>46630</v>
      </c>
      <c r="AZ7" s="46">
        <v>46660</v>
      </c>
      <c r="BA7" s="43">
        <v>46691</v>
      </c>
      <c r="BB7" s="43">
        <v>46721</v>
      </c>
      <c r="BC7" s="44">
        <v>46752</v>
      </c>
    </row>
    <row r="8" spans="1:55" x14ac:dyDescent="0.3">
      <c r="B8" s="56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</row>
    <row r="9" spans="1:55" x14ac:dyDescent="0.3"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</row>
    <row r="10" spans="1:55" x14ac:dyDescent="0.3">
      <c r="B10" s="78"/>
      <c r="C10" s="604" t="s">
        <v>280</v>
      </c>
      <c r="D10" s="604"/>
      <c r="E10" s="604"/>
      <c r="F10" s="604"/>
      <c r="G10" s="604"/>
      <c r="H10" s="604"/>
      <c r="I10" s="604"/>
      <c r="J10" s="604"/>
      <c r="K10" s="604"/>
      <c r="L10" s="604"/>
      <c r="M10" s="77"/>
      <c r="N10" s="77"/>
      <c r="O10" s="78"/>
      <c r="P10" s="604" t="s">
        <v>283</v>
      </c>
      <c r="Q10" s="604"/>
      <c r="R10" s="604"/>
      <c r="S10" s="604"/>
      <c r="T10" s="604"/>
      <c r="U10" s="604"/>
      <c r="V10" s="604"/>
      <c r="W10" s="604"/>
      <c r="X10" s="604"/>
      <c r="Y10" s="604"/>
      <c r="Z10" s="77"/>
      <c r="AB10" s="19" t="s">
        <v>148</v>
      </c>
    </row>
    <row r="11" spans="1:55" x14ac:dyDescent="0.3">
      <c r="AB11" s="53" t="s">
        <v>44</v>
      </c>
      <c r="AF11" s="54">
        <f>'Operational Model'!G155</f>
        <v>913.22280000000001</v>
      </c>
      <c r="AG11" s="54">
        <f>'Operational Model'!H155</f>
        <v>933.64625105135997</v>
      </c>
      <c r="AH11" s="54">
        <f>'Operational Model'!I155</f>
        <v>953.82026075561885</v>
      </c>
      <c r="AI11" s="54">
        <f>'Operational Model'!J155</f>
        <v>973.79365938813044</v>
      </c>
      <c r="AJ11" s="54">
        <f>'Operational Model'!K155</f>
        <v>993.61427473508866</v>
      </c>
      <c r="AK11" s="54">
        <f>'Operational Model'!L155</f>
        <v>1013.3290050308915</v>
      </c>
      <c r="AL11" s="54">
        <f>'Operational Model'!M155</f>
        <v>1032.9838901010589</v>
      </c>
      <c r="AM11" s="54">
        <f>'Operational Model'!N155</f>
        <v>1052.6241808129246</v>
      </c>
      <c r="AN11" s="54">
        <f>'Operational Model'!O155</f>
        <v>1072.294406933474</v>
      </c>
      <c r="AO11" s="54">
        <f>'Operational Model'!P155</f>
        <v>1092.0384434909899</v>
      </c>
      <c r="AP11" s="54">
        <f>'Operational Model'!Q155</f>
        <v>1111.8995757346056</v>
      </c>
      <c r="AQ11" s="54">
        <f>'Operational Model'!R155</f>
        <v>1131.920562783426</v>
      </c>
      <c r="AR11" s="54">
        <f>'Operational Model'!S155</f>
        <v>1157.5983540197676</v>
      </c>
      <c r="AS11" s="54">
        <f>'Operational Model'!T155</f>
        <v>1183.4761071675407</v>
      </c>
      <c r="AT11" s="54">
        <f>'Operational Model'!U155</f>
        <v>1209.5912542337499</v>
      </c>
      <c r="AU11" s="54">
        <f>'Operational Model'!V155</f>
        <v>1235.980861061965</v>
      </c>
      <c r="AV11" s="54">
        <f>'Operational Model'!W155</f>
        <v>1262.681675088038</v>
      </c>
      <c r="AW11" s="54">
        <f>'Operational Model'!X155</f>
        <v>1289.7301721268409</v>
      </c>
      <c r="AX11" s="54">
        <f>'Operational Model'!Y155</f>
        <v>1317.1626022537782</v>
      </c>
      <c r="AY11" s="54">
        <f>'Operational Model'!Z155</f>
        <v>1345.0150348430493</v>
      </c>
      <c r="AZ11" s="54">
        <f>'Operational Model'!AA155</f>
        <v>1373.3234028229492</v>
      </c>
      <c r="BA11" s="54">
        <f>'Operational Model'!AB155</f>
        <v>1402.1235462068914</v>
      </c>
      <c r="BB11" s="54">
        <f>'Operational Model'!AC155</f>
        <v>1431.4512549573267</v>
      </c>
      <c r="BC11" s="54">
        <f>'Operational Model'!AD155</f>
        <v>1461.3423112382877</v>
      </c>
    </row>
    <row r="12" spans="1:55" x14ac:dyDescent="0.3">
      <c r="AB12" s="51" t="s">
        <v>63</v>
      </c>
      <c r="AF12" s="55">
        <f>'Operational Model'!G156</f>
        <v>2.3218823529411736E-2</v>
      </c>
      <c r="AG12" s="55">
        <f>'Operational Model'!H156</f>
        <v>2.2364149308755632E-2</v>
      </c>
      <c r="AH12" s="55">
        <f>'Operational Model'!I156</f>
        <v>2.1607765983681082E-2</v>
      </c>
      <c r="AI12" s="55">
        <f>'Operational Model'!J156</f>
        <v>2.094042185336753E-2</v>
      </c>
      <c r="AJ12" s="55">
        <f>'Operational Model'!K156</f>
        <v>2.0354019720576266E-2</v>
      </c>
      <c r="AK12" s="55">
        <f>'Operational Model'!L156</f>
        <v>1.9841432230891742E-2</v>
      </c>
      <c r="AL12" s="55">
        <f>'Operational Model'!M156</f>
        <v>1.9396351009974611E-2</v>
      </c>
      <c r="AM12" s="55">
        <f>'Operational Model'!N156</f>
        <v>1.9013162644718751E-2</v>
      </c>
      <c r="AN12" s="55">
        <f>'Operational Model'!O156</f>
        <v>1.8686846149932101E-2</v>
      </c>
      <c r="AO12" s="55">
        <f>'Operational Model'!P156</f>
        <v>1.8412887757178087E-2</v>
      </c>
      <c r="AP12" s="55">
        <f>'Operational Model'!Q156</f>
        <v>1.8187209765367029E-2</v>
      </c>
      <c r="AQ12" s="55">
        <f>'Operational Model'!R156</f>
        <v>1.8006110880645965E-2</v>
      </c>
      <c r="AR12" s="55">
        <f>'Operational Model'!S156</f>
        <v>2.2685153075759246E-2</v>
      </c>
      <c r="AS12" s="55">
        <f>'Operational Model'!T156</f>
        <v>2.2354690690352452E-2</v>
      </c>
      <c r="AT12" s="55">
        <f>'Operational Model'!U156</f>
        <v>2.206647595844724E-2</v>
      </c>
      <c r="AU12" s="55">
        <f>'Operational Model'!V156</f>
        <v>2.1816962329917367E-2</v>
      </c>
      <c r="AV12" s="55">
        <f>'Operational Model'!W156</f>
        <v>2.1602934857042566E-2</v>
      </c>
      <c r="AW12" s="55">
        <f>'Operational Model'!X156</f>
        <v>2.1421469537773241E-2</v>
      </c>
      <c r="AX12" s="55">
        <f>'Operational Model'!Y156</f>
        <v>2.1269898711991475E-2</v>
      </c>
      <c r="AY12" s="55">
        <f>'Operational Model'!Z156</f>
        <v>2.1145781501549665E-2</v>
      </c>
      <c r="AZ12" s="55">
        <f>'Operational Model'!AA156</f>
        <v>2.1046878470918573E-2</v>
      </c>
      <c r="BA12" s="55">
        <f>'Operational Model'!AB156</f>
        <v>2.0971129833469604E-2</v>
      </c>
      <c r="BB12" s="55">
        <f>'Operational Model'!AC156</f>
        <v>2.0916636647158704E-2</v>
      </c>
      <c r="BC12" s="55">
        <f>'Operational Model'!AD156</f>
        <v>2.0881644539025634E-2</v>
      </c>
    </row>
    <row r="13" spans="1:55" x14ac:dyDescent="0.3">
      <c r="AB13" s="51" t="s">
        <v>10</v>
      </c>
      <c r="AF13" s="54">
        <f>'Operational Model'!G163</f>
        <v>10958.6736</v>
      </c>
      <c r="AG13" s="54">
        <f>'Operational Model'!H163</f>
        <v>11203.755012616321</v>
      </c>
      <c r="AH13" s="54">
        <f>'Operational Model'!I163</f>
        <v>11445.843129067427</v>
      </c>
      <c r="AI13" s="54">
        <f>'Operational Model'!J163</f>
        <v>11685.523912657565</v>
      </c>
      <c r="AJ13" s="54">
        <f>'Operational Model'!K163</f>
        <v>11923.371296821064</v>
      </c>
      <c r="AK13" s="54">
        <f>'Operational Model'!L163</f>
        <v>12159.948060370698</v>
      </c>
      <c r="AL13" s="54">
        <f>'Operational Model'!M163</f>
        <v>12395.806681212705</v>
      </c>
      <c r="AM13" s="54">
        <f>'Operational Model'!N163</f>
        <v>12631.490169755094</v>
      </c>
      <c r="AN13" s="54">
        <f>'Operational Model'!O163</f>
        <v>12867.532883201688</v>
      </c>
      <c r="AO13" s="54">
        <f>'Operational Model'!P163</f>
        <v>13104.461321891878</v>
      </c>
      <c r="AP13" s="54">
        <f>'Operational Model'!Q163</f>
        <v>13342.794908815267</v>
      </c>
      <c r="AQ13" s="54">
        <f>'Operational Model'!R163</f>
        <v>13583.046753401115</v>
      </c>
      <c r="AR13" s="54">
        <f>'Operational Model'!S163</f>
        <v>13891.180248237215</v>
      </c>
      <c r="AS13" s="54">
        <f>'Operational Model'!T163</f>
        <v>14201.713286010492</v>
      </c>
      <c r="AT13" s="54">
        <f>'Operational Model'!U163</f>
        <v>14515.095050805003</v>
      </c>
      <c r="AU13" s="54">
        <f>'Operational Model'!V163</f>
        <v>14831.770332743587</v>
      </c>
      <c r="AV13" s="54">
        <f>'Operational Model'!W163</f>
        <v>15152.180101056463</v>
      </c>
      <c r="AW13" s="54">
        <f>'Operational Model'!X163</f>
        <v>15476.762065522098</v>
      </c>
      <c r="AX13" s="54">
        <f>'Operational Model'!Y163</f>
        <v>15805.951227045345</v>
      </c>
      <c r="AY13" s="54">
        <f>'Operational Model'!Z163</f>
        <v>16140.180418116599</v>
      </c>
      <c r="AZ13" s="54">
        <f>'Operational Model'!AA163</f>
        <v>16479.880833875395</v>
      </c>
      <c r="BA13" s="54">
        <f>'Operational Model'!AB163</f>
        <v>16825.482554482704</v>
      </c>
      <c r="BB13" s="54">
        <f>'Operational Model'!AC163</f>
        <v>17177.415059487928</v>
      </c>
      <c r="BC13" s="54">
        <f>'Operational Model'!AD163</f>
        <v>17536.107734859459</v>
      </c>
    </row>
    <row r="14" spans="1:55" x14ac:dyDescent="0.3">
      <c r="AB14" s="51" t="s">
        <v>21</v>
      </c>
      <c r="AF14" s="55">
        <f>'Operational Model'!G164</f>
        <v>2.3218823529411736E-2</v>
      </c>
      <c r="AG14" s="55">
        <f>'Operational Model'!H164</f>
        <v>2.2364149308755854E-2</v>
      </c>
      <c r="AH14" s="55">
        <f>'Operational Model'!I164</f>
        <v>2.1607765983681082E-2</v>
      </c>
      <c r="AI14" s="55">
        <f>'Operational Model'!J164</f>
        <v>2.0940421853367308E-2</v>
      </c>
      <c r="AJ14" s="55">
        <f>'Operational Model'!K164</f>
        <v>2.0354019720576266E-2</v>
      </c>
      <c r="AK14" s="55">
        <f>'Operational Model'!L164</f>
        <v>1.9841432230891742E-2</v>
      </c>
      <c r="AL14" s="55">
        <f>'Operational Model'!M164</f>
        <v>1.9396351009974389E-2</v>
      </c>
      <c r="AM14" s="55">
        <f>'Operational Model'!N164</f>
        <v>1.9013162644718751E-2</v>
      </c>
      <c r="AN14" s="55">
        <f>'Operational Model'!O164</f>
        <v>1.8686846149932101E-2</v>
      </c>
      <c r="AO14" s="55">
        <f>'Operational Model'!P164</f>
        <v>1.8412887757178087E-2</v>
      </c>
      <c r="AP14" s="55">
        <f>'Operational Model'!Q164</f>
        <v>1.8187209765367252E-2</v>
      </c>
      <c r="AQ14" s="55">
        <f>'Operational Model'!R164</f>
        <v>1.8006110880646187E-2</v>
      </c>
      <c r="AR14" s="55">
        <f>'Operational Model'!S164</f>
        <v>2.2685153075759246E-2</v>
      </c>
      <c r="AS14" s="55">
        <f>'Operational Model'!T164</f>
        <v>2.2354690690352452E-2</v>
      </c>
      <c r="AT14" s="55">
        <f>'Operational Model'!U164</f>
        <v>2.206647595844724E-2</v>
      </c>
      <c r="AU14" s="55">
        <f>'Operational Model'!V164</f>
        <v>2.1816962329917367E-2</v>
      </c>
      <c r="AV14" s="55">
        <f>'Operational Model'!W164</f>
        <v>2.1602934857042566E-2</v>
      </c>
      <c r="AW14" s="55">
        <f>'Operational Model'!X164</f>
        <v>2.1421469537773241E-2</v>
      </c>
      <c r="AX14" s="55">
        <f>'Operational Model'!Y164</f>
        <v>2.1269898711991475E-2</v>
      </c>
      <c r="AY14" s="55">
        <f>'Operational Model'!Z164</f>
        <v>2.1145781501549887E-2</v>
      </c>
      <c r="AZ14" s="55">
        <f>'Operational Model'!AA164</f>
        <v>2.1046878470918351E-2</v>
      </c>
      <c r="BA14" s="55">
        <f>'Operational Model'!AB164</f>
        <v>2.0971129833469604E-2</v>
      </c>
      <c r="BB14" s="55">
        <f>'Operational Model'!AC164</f>
        <v>2.0916636647158926E-2</v>
      </c>
      <c r="BC14" s="55">
        <f>'Operational Model'!AD164</f>
        <v>2.0881644539025412E-2</v>
      </c>
    </row>
    <row r="21" spans="28:55" x14ac:dyDescent="0.3">
      <c r="AB21" s="51" t="s">
        <v>59</v>
      </c>
      <c r="AF21" s="54">
        <f>'Operational Model'!G151</f>
        <v>36.75</v>
      </c>
      <c r="AG21" s="54">
        <f>'Operational Model'!H151</f>
        <v>36.824341679999996</v>
      </c>
      <c r="AH21" s="54">
        <f>'Operational Model'!I151</f>
        <v>36.943101869486398</v>
      </c>
      <c r="AI21" s="54">
        <f>'Operational Model'!J151</f>
        <v>37.106103928685542</v>
      </c>
      <c r="AJ21" s="54">
        <f>'Operational Model'!K151</f>
        <v>37.313226509301543</v>
      </c>
      <c r="AK21" s="54">
        <f>'Operational Model'!L151</f>
        <v>37.564403006011837</v>
      </c>
      <c r="AL21" s="54">
        <f>'Operational Model'!M151</f>
        <v>37.859621078767027</v>
      </c>
      <c r="AM21" s="54">
        <f>'Operational Model'!N151</f>
        <v>38.19892224479922</v>
      </c>
      <c r="AN21" s="54">
        <f>'Operational Model'!O151</f>
        <v>38.582401539335883</v>
      </c>
      <c r="AO21" s="54">
        <f>'Operational Model'!P151</f>
        <v>39.010207244107619</v>
      </c>
      <c r="AP21" s="54">
        <f>'Operational Model'!Q151</f>
        <v>39.48254068282742</v>
      </c>
      <c r="AQ21" s="54">
        <f>'Operational Model'!R151</f>
        <v>39.99965608290703</v>
      </c>
      <c r="AR21" s="54">
        <f>'Operational Model'!S151</f>
        <v>42.589953527899659</v>
      </c>
      <c r="AS21" s="54">
        <f>'Operational Model'!T151</f>
        <v>43.174714625310664</v>
      </c>
      <c r="AT21" s="54">
        <f>'Operational Model'!U151</f>
        <v>43.799796992531824</v>
      </c>
      <c r="AU21" s="54">
        <f>'Operational Model'!V151</f>
        <v>44.46539737731819</v>
      </c>
      <c r="AV21" s="54">
        <f>'Operational Model'!W151</f>
        <v>45.171754644566214</v>
      </c>
      <c r="AW21" s="54">
        <f>'Operational Model'!X151</f>
        <v>45.919149526997181</v>
      </c>
      <c r="AX21" s="54">
        <f>'Operational Model'!Y151</f>
        <v>46.707904424860068</v>
      </c>
      <c r="AY21" s="54">
        <f>'Operational Model'!Z151</f>
        <v>47.53838325383802</v>
      </c>
      <c r="AZ21" s="54">
        <f>'Operational Model'!AA151</f>
        <v>48.410991340405836</v>
      </c>
      <c r="BA21" s="54">
        <f>'Operational Model'!AB151</f>
        <v>49.32617536394703</v>
      </c>
      <c r="BB21" s="54">
        <f>'Operational Model'!AC151</f>
        <v>50.284423344998793</v>
      </c>
      <c r="BC21" s="54">
        <f>'Operational Model'!AD151</f>
        <v>51.286264679051364</v>
      </c>
    </row>
    <row r="22" spans="28:55" x14ac:dyDescent="0.3">
      <c r="AB22" s="51" t="s">
        <v>68</v>
      </c>
      <c r="AF22" s="54">
        <f>'Operational Model'!G152</f>
        <v>-17.850000000000001</v>
      </c>
      <c r="AG22" s="54">
        <f>'Operational Model'!H152</f>
        <v>-18.264455999999999</v>
      </c>
      <c r="AH22" s="54">
        <f>'Operational Model'!I152</f>
        <v>-18.672925021027197</v>
      </c>
      <c r="AI22" s="54">
        <f>'Operational Model'!J152</f>
        <v>-19.076405215112374</v>
      </c>
      <c r="AJ22" s="54">
        <f>'Operational Model'!K152</f>
        <v>-19.475873187762609</v>
      </c>
      <c r="AK22" s="54">
        <f>'Operational Model'!L152</f>
        <v>-19.872285494701774</v>
      </c>
      <c r="AL22" s="54">
        <f>'Operational Model'!M152</f>
        <v>-20.266580100617826</v>
      </c>
      <c r="AM22" s="54">
        <f>'Operational Model'!N152</f>
        <v>-20.659677802021179</v>
      </c>
      <c r="AN22" s="54">
        <f>'Operational Model'!O152</f>
        <v>-21.052483616258492</v>
      </c>
      <c r="AO22" s="54">
        <f>'Operational Model'!P152</f>
        <v>-21.445888138669478</v>
      </c>
      <c r="AP22" s="54">
        <f>'Operational Model'!Q152</f>
        <v>-21.840768869819797</v>
      </c>
      <c r="AQ22" s="54">
        <f>'Operational Model'!R152</f>
        <v>-22.237991514692112</v>
      </c>
      <c r="AR22" s="54">
        <f>'Operational Model'!S152</f>
        <v>-20.37457013010167</v>
      </c>
      <c r="AS22" s="54">
        <f>'Operational Model'!T152</f>
        <v>-20.836770372355819</v>
      </c>
      <c r="AT22" s="54">
        <f>'Operational Model'!U152</f>
        <v>-21.302569929015736</v>
      </c>
      <c r="AU22" s="54">
        <f>'Operational Model'!V152</f>
        <v>-21.772642576207502</v>
      </c>
      <c r="AV22" s="54">
        <f>'Operational Model'!W152</f>
        <v>-22.247655499115378</v>
      </c>
      <c r="AW22" s="54">
        <f>'Operational Model'!X152</f>
        <v>-22.728270151584692</v>
      </c>
      <c r="AX22" s="54">
        <f>'Operational Model'!Y152</f>
        <v>-23.215143098283143</v>
      </c>
      <c r="AY22" s="54">
        <f>'Operational Model'!Z152</f>
        <v>-23.708926840568015</v>
      </c>
      <c r="AZ22" s="54">
        <f>'Operational Model'!AA152</f>
        <v>-24.210270627174896</v>
      </c>
      <c r="BA22" s="54">
        <f>'Operational Model'!AB152</f>
        <v>-24.719821250813094</v>
      </c>
      <c r="BB22" s="54">
        <f>'Operational Model'!AC152</f>
        <v>-25.238223831724049</v>
      </c>
      <c r="BC22" s="54">
        <f>'Operational Model'!AD152</f>
        <v>-25.76612258923188</v>
      </c>
    </row>
    <row r="23" spans="28:55" x14ac:dyDescent="0.3">
      <c r="AB23" s="51" t="s">
        <v>70</v>
      </c>
      <c r="AF23" s="54">
        <f>'Operational Model'!G153</f>
        <v>18.899999999999999</v>
      </c>
      <c r="AG23" s="54">
        <f>'Operational Model'!H153</f>
        <v>18.559885679999997</v>
      </c>
      <c r="AH23" s="54">
        <f>'Operational Model'!I153</f>
        <v>18.270176848459201</v>
      </c>
      <c r="AI23" s="54">
        <f>'Operational Model'!J153</f>
        <v>18.029698713573168</v>
      </c>
      <c r="AJ23" s="54">
        <f>'Operational Model'!K153</f>
        <v>17.837353321538934</v>
      </c>
      <c r="AK23" s="54">
        <f>'Operational Model'!L153</f>
        <v>17.692117511310062</v>
      </c>
      <c r="AL23" s="54">
        <f>'Operational Model'!M153</f>
        <v>17.593040978149201</v>
      </c>
      <c r="AM23" s="54">
        <f>'Operational Model'!N153</f>
        <v>17.539244442778042</v>
      </c>
      <c r="AN23" s="54">
        <f>'Operational Model'!O153</f>
        <v>17.529917923077392</v>
      </c>
      <c r="AO23" s="54">
        <f>'Operational Model'!P153</f>
        <v>17.564319105438141</v>
      </c>
      <c r="AP23" s="54">
        <f>'Operational Model'!Q153</f>
        <v>17.641771813007622</v>
      </c>
      <c r="AQ23" s="54">
        <f>'Operational Model'!R153</f>
        <v>17.761664568214918</v>
      </c>
      <c r="AR23" s="54">
        <f>'Operational Model'!S153</f>
        <v>22.215383397797989</v>
      </c>
      <c r="AS23" s="54">
        <f>'Operational Model'!T153</f>
        <v>22.337944252954845</v>
      </c>
      <c r="AT23" s="54">
        <f>'Operational Model'!U153</f>
        <v>22.497227063516089</v>
      </c>
      <c r="AU23" s="54">
        <f>'Operational Model'!V153</f>
        <v>22.692754801110688</v>
      </c>
      <c r="AV23" s="54">
        <f>'Operational Model'!W153</f>
        <v>22.924099145450835</v>
      </c>
      <c r="AW23" s="54">
        <f>'Operational Model'!X153</f>
        <v>23.190879375412489</v>
      </c>
      <c r="AX23" s="54">
        <f>'Operational Model'!Y153</f>
        <v>23.492761326576925</v>
      </c>
      <c r="AY23" s="54">
        <f>'Operational Model'!Z153</f>
        <v>23.829456413270005</v>
      </c>
      <c r="AZ23" s="54">
        <f>'Operational Model'!AA153</f>
        <v>24.20072071323094</v>
      </c>
      <c r="BA23" s="54">
        <f>'Operational Model'!AB153</f>
        <v>24.606354113133936</v>
      </c>
      <c r="BB23" s="54">
        <f>'Operational Model'!AC153</f>
        <v>25.046199513274743</v>
      </c>
      <c r="BC23" s="54">
        <f>'Operational Model'!AD153</f>
        <v>25.520142089819483</v>
      </c>
    </row>
    <row r="37" spans="2:26" x14ac:dyDescent="0.3">
      <c r="B37" s="78"/>
      <c r="C37" s="604" t="s">
        <v>149</v>
      </c>
      <c r="D37" s="604"/>
      <c r="E37" s="604"/>
      <c r="F37" s="604"/>
      <c r="G37" s="604"/>
      <c r="H37" s="604"/>
      <c r="I37" s="604"/>
      <c r="J37" s="604"/>
      <c r="K37" s="604"/>
      <c r="L37" s="604"/>
      <c r="M37" s="77"/>
      <c r="N37" s="77"/>
      <c r="O37" s="78"/>
      <c r="P37" s="604" t="s">
        <v>149</v>
      </c>
      <c r="Q37" s="604"/>
      <c r="R37" s="604"/>
      <c r="S37" s="604"/>
      <c r="T37" s="604"/>
      <c r="U37" s="604"/>
      <c r="V37" s="604"/>
      <c r="W37" s="604"/>
      <c r="X37" s="604"/>
      <c r="Y37" s="604"/>
      <c r="Z37" s="77"/>
    </row>
    <row r="58" spans="1:55" s="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B58"/>
      <c r="AC58"/>
      <c r="AD58"/>
      <c r="AE58"/>
      <c r="AF58" s="54"/>
      <c r="AG58" s="54"/>
      <c r="AH58" s="54"/>
      <c r="AI58" s="54"/>
      <c r="AJ58" s="54"/>
      <c r="AK58" s="54"/>
      <c r="AL58" s="54"/>
      <c r="AM58" s="54"/>
      <c r="AN58" s="54"/>
      <c r="AO58" s="54"/>
      <c r="AP58" s="54"/>
      <c r="AQ58" s="54"/>
      <c r="AR58" s="54"/>
      <c r="AS58" s="54"/>
      <c r="AT58" s="54"/>
      <c r="AU58" s="54"/>
      <c r="AV58" s="54"/>
      <c r="AW58" s="54"/>
      <c r="AX58" s="54"/>
      <c r="AY58" s="54"/>
      <c r="AZ58" s="54"/>
      <c r="BA58" s="54"/>
      <c r="BB58" s="54"/>
      <c r="BC58" s="54"/>
    </row>
    <row r="59" spans="1:55" s="1" customFormat="1" x14ac:dyDescent="0.3"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B59"/>
      <c r="AC59"/>
      <c r="AD59"/>
      <c r="AE59"/>
      <c r="AF59" s="54"/>
      <c r="AG59" s="54"/>
      <c r="AH59" s="54"/>
      <c r="AI59" s="54"/>
      <c r="AJ59" s="54"/>
      <c r="AK59" s="54"/>
      <c r="AL59" s="54"/>
      <c r="AM59" s="54"/>
      <c r="AN59" s="54"/>
      <c r="AO59" s="54"/>
      <c r="AP59" s="54"/>
      <c r="AQ59" s="54"/>
      <c r="AR59" s="54"/>
      <c r="AS59" s="54"/>
      <c r="AT59" s="54"/>
      <c r="AU59" s="54"/>
      <c r="AV59" s="54"/>
      <c r="AW59" s="54"/>
      <c r="AX59" s="54"/>
      <c r="AY59" s="54"/>
      <c r="AZ59" s="54"/>
      <c r="BA59" s="54"/>
      <c r="BB59" s="54"/>
      <c r="BC59" s="54"/>
    </row>
    <row r="60" spans="1:55" s="1" customFormat="1" x14ac:dyDescent="0.3"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F60" s="61"/>
      <c r="AG60" s="61"/>
      <c r="AH60" s="61"/>
      <c r="AI60" s="61"/>
      <c r="AJ60" s="61"/>
      <c r="AK60" s="61"/>
      <c r="AL60" s="61"/>
      <c r="AM60" s="61"/>
      <c r="AN60" s="61"/>
      <c r="AO60" s="61"/>
      <c r="AP60" s="61"/>
      <c r="AQ60" s="61"/>
      <c r="AR60" s="61"/>
      <c r="AS60" s="61"/>
      <c r="AT60" s="61"/>
      <c r="AU60" s="61"/>
      <c r="AV60" s="61"/>
      <c r="AW60" s="61"/>
      <c r="AX60" s="61"/>
      <c r="AY60" s="61"/>
      <c r="AZ60" s="61"/>
      <c r="BA60" s="61"/>
      <c r="BB60" s="61"/>
      <c r="BC60" s="61"/>
    </row>
    <row r="61" spans="1:55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B61" s="1"/>
      <c r="AC61" s="1"/>
      <c r="AD61" s="1"/>
      <c r="AE61" s="1"/>
      <c r="AF61" s="61"/>
      <c r="AG61" s="61"/>
      <c r="AH61" s="61"/>
      <c r="AI61" s="61"/>
      <c r="AJ61" s="61"/>
      <c r="AK61" s="61"/>
      <c r="AL61" s="61"/>
      <c r="AM61" s="61"/>
      <c r="AN61" s="61"/>
      <c r="AO61" s="61"/>
      <c r="AP61" s="61"/>
      <c r="AQ61" s="61"/>
      <c r="AR61" s="61"/>
      <c r="AS61" s="61"/>
      <c r="AT61" s="61"/>
      <c r="AU61" s="61"/>
      <c r="AV61" s="61"/>
      <c r="AW61" s="61"/>
      <c r="AX61" s="61"/>
      <c r="AY61" s="61"/>
      <c r="AZ61" s="61"/>
      <c r="BA61" s="61"/>
      <c r="BB61" s="61"/>
      <c r="BC61" s="61"/>
    </row>
    <row r="62" spans="1:55" x14ac:dyDescent="0.3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B62" s="1"/>
      <c r="AC62" s="1"/>
      <c r="AD62" s="1"/>
      <c r="AE62" s="1"/>
      <c r="AF62" s="61"/>
      <c r="AG62" s="61"/>
      <c r="AH62" s="61"/>
      <c r="AI62" s="61"/>
      <c r="AJ62" s="61"/>
      <c r="AK62" s="61"/>
      <c r="AL62" s="61"/>
      <c r="AM62" s="61"/>
      <c r="AN62" s="61"/>
      <c r="AO62" s="61"/>
      <c r="AP62" s="61"/>
      <c r="AQ62" s="61"/>
      <c r="AR62" s="61"/>
      <c r="AS62" s="61"/>
      <c r="AT62" s="61"/>
      <c r="AU62" s="61"/>
      <c r="AV62" s="61"/>
      <c r="AW62" s="61"/>
      <c r="AX62" s="61"/>
      <c r="AY62" s="61"/>
      <c r="AZ62" s="61"/>
      <c r="BA62" s="61"/>
      <c r="BB62" s="61"/>
      <c r="BC62" s="61"/>
    </row>
    <row r="63" spans="1:55" x14ac:dyDescent="0.3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B63" s="1"/>
      <c r="AC63" s="1"/>
      <c r="AD63" s="1"/>
      <c r="AE63" s="1"/>
      <c r="AF63" s="61"/>
      <c r="AG63" s="61"/>
      <c r="AH63" s="61"/>
      <c r="AI63" s="61"/>
      <c r="AJ63" s="61"/>
      <c r="AK63" s="61"/>
      <c r="AL63" s="61"/>
      <c r="AM63" s="61"/>
      <c r="AN63" s="61"/>
      <c r="AO63" s="61"/>
      <c r="AP63" s="61"/>
      <c r="AQ63" s="61"/>
      <c r="AR63" s="61"/>
      <c r="AS63" s="61"/>
      <c r="AT63" s="61"/>
      <c r="AU63" s="61"/>
      <c r="AV63" s="61"/>
      <c r="AW63" s="61"/>
      <c r="AX63" s="61"/>
      <c r="AY63" s="61"/>
      <c r="AZ63" s="61"/>
      <c r="BA63" s="61"/>
      <c r="BB63" s="61"/>
      <c r="BC63" s="61"/>
    </row>
    <row r="64" spans="1:55" x14ac:dyDescent="0.3">
      <c r="AB64" s="1"/>
      <c r="AC64" s="1"/>
      <c r="AD64" s="1"/>
      <c r="AE64" s="1"/>
      <c r="AF64" s="61"/>
      <c r="AG64" s="61"/>
      <c r="AH64" s="61"/>
      <c r="AI64" s="61"/>
      <c r="AJ64" s="61"/>
      <c r="AK64" s="61"/>
      <c r="AL64" s="61"/>
      <c r="AM64" s="61"/>
      <c r="AN64" s="61"/>
      <c r="AO64" s="61"/>
      <c r="AP64" s="61"/>
      <c r="AQ64" s="61"/>
      <c r="AR64" s="61"/>
      <c r="AS64" s="61"/>
      <c r="AT64" s="61"/>
      <c r="AU64" s="61"/>
      <c r="AV64" s="61"/>
      <c r="AW64" s="61"/>
      <c r="AX64" s="61"/>
      <c r="AY64" s="61"/>
      <c r="AZ64" s="61"/>
      <c r="BA64" s="61"/>
      <c r="BB64" s="61"/>
      <c r="BC64" s="61"/>
    </row>
    <row r="65" spans="1:55" ht="21" x14ac:dyDescent="0.3">
      <c r="A65" t="s">
        <v>33</v>
      </c>
      <c r="B65" s="5" t="s">
        <v>284</v>
      </c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B65" s="5" t="s">
        <v>151</v>
      </c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</row>
    <row r="66" spans="1:55" x14ac:dyDescent="0.3"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</row>
    <row r="67" spans="1:55" x14ac:dyDescent="0.3">
      <c r="B67" s="38" t="s">
        <v>24</v>
      </c>
      <c r="AB67" s="38" t="s">
        <v>24</v>
      </c>
      <c r="AF67" s="47">
        <v>2026</v>
      </c>
      <c r="AG67" s="48">
        <v>2026</v>
      </c>
      <c r="AH67" s="49">
        <v>2026</v>
      </c>
      <c r="AI67" s="48">
        <v>2026</v>
      </c>
      <c r="AJ67" s="48">
        <v>2026</v>
      </c>
      <c r="AK67" s="49">
        <v>2026</v>
      </c>
      <c r="AL67" s="48">
        <v>2026</v>
      </c>
      <c r="AM67" s="48">
        <v>2026</v>
      </c>
      <c r="AN67" s="49">
        <v>2026</v>
      </c>
      <c r="AO67" s="48">
        <v>2026</v>
      </c>
      <c r="AP67" s="48">
        <v>2026</v>
      </c>
      <c r="AQ67" s="50">
        <v>2026</v>
      </c>
      <c r="AR67" s="48">
        <v>2027</v>
      </c>
      <c r="AS67" s="48">
        <v>2027</v>
      </c>
      <c r="AT67" s="49">
        <v>2027</v>
      </c>
      <c r="AU67" s="48">
        <v>2027</v>
      </c>
      <c r="AV67" s="48">
        <v>2027</v>
      </c>
      <c r="AW67" s="49">
        <v>2027</v>
      </c>
      <c r="AX67" s="48">
        <v>2027</v>
      </c>
      <c r="AY67" s="48">
        <v>2027</v>
      </c>
      <c r="AZ67" s="49">
        <v>2027</v>
      </c>
      <c r="BA67" s="48">
        <v>2027</v>
      </c>
      <c r="BB67" s="48">
        <v>2027</v>
      </c>
      <c r="BC67" s="50">
        <v>2027</v>
      </c>
    </row>
    <row r="68" spans="1:55" x14ac:dyDescent="0.3">
      <c r="B68" s="38" t="str" cm="1">
        <f t="array" ref="B68">CONCATENATE("Model Running: ",INDEX(Inputs!$B$15:$B$17,Inputs!$D$8)," Drivers")</f>
        <v>Model Running: Base Case Drivers</v>
      </c>
      <c r="AF68" s="40">
        <v>1</v>
      </c>
      <c r="AG68" s="39">
        <v>1</v>
      </c>
      <c r="AH68" s="45">
        <v>1</v>
      </c>
      <c r="AI68" s="39">
        <v>2</v>
      </c>
      <c r="AJ68" s="39">
        <v>2</v>
      </c>
      <c r="AK68" s="45">
        <v>2</v>
      </c>
      <c r="AL68" s="39">
        <v>3</v>
      </c>
      <c r="AM68" s="39">
        <v>3</v>
      </c>
      <c r="AN68" s="45">
        <v>3</v>
      </c>
      <c r="AO68" s="39">
        <v>4</v>
      </c>
      <c r="AP68" s="39">
        <v>4</v>
      </c>
      <c r="AQ68" s="41">
        <v>4</v>
      </c>
      <c r="AR68" s="39">
        <v>1</v>
      </c>
      <c r="AS68" s="39">
        <v>1</v>
      </c>
      <c r="AT68" s="45">
        <v>1</v>
      </c>
      <c r="AU68" s="39">
        <v>2</v>
      </c>
      <c r="AV68" s="39">
        <v>2</v>
      </c>
      <c r="AW68" s="45">
        <v>2</v>
      </c>
      <c r="AX68" s="39">
        <v>3</v>
      </c>
      <c r="AY68" s="39">
        <v>3</v>
      </c>
      <c r="AZ68" s="45">
        <v>3</v>
      </c>
      <c r="BA68" s="39">
        <v>4</v>
      </c>
      <c r="BB68" s="39">
        <v>4</v>
      </c>
      <c r="BC68" s="41">
        <v>4</v>
      </c>
    </row>
    <row r="69" spans="1:55" x14ac:dyDescent="0.3">
      <c r="B69" s="38"/>
      <c r="AF69" s="42">
        <v>46053</v>
      </c>
      <c r="AG69" s="43">
        <v>46081</v>
      </c>
      <c r="AH69" s="46">
        <v>46112</v>
      </c>
      <c r="AI69" s="43">
        <v>46142</v>
      </c>
      <c r="AJ69" s="43">
        <v>46173</v>
      </c>
      <c r="AK69" s="46">
        <v>46203</v>
      </c>
      <c r="AL69" s="43">
        <v>46234</v>
      </c>
      <c r="AM69" s="43">
        <v>46265</v>
      </c>
      <c r="AN69" s="46">
        <v>46295</v>
      </c>
      <c r="AO69" s="43">
        <v>46326</v>
      </c>
      <c r="AP69" s="43">
        <v>46356</v>
      </c>
      <c r="AQ69" s="44">
        <v>46387</v>
      </c>
      <c r="AR69" s="43">
        <v>46418</v>
      </c>
      <c r="AS69" s="43">
        <v>46446</v>
      </c>
      <c r="AT69" s="46">
        <v>46477</v>
      </c>
      <c r="AU69" s="43">
        <v>46507</v>
      </c>
      <c r="AV69" s="43">
        <v>46538</v>
      </c>
      <c r="AW69" s="46">
        <v>46568</v>
      </c>
      <c r="AX69" s="43">
        <v>46599</v>
      </c>
      <c r="AY69" s="43">
        <v>46630</v>
      </c>
      <c r="AZ69" s="46">
        <v>46660</v>
      </c>
      <c r="BA69" s="43">
        <v>46691</v>
      </c>
      <c r="BB69" s="43">
        <v>46721</v>
      </c>
      <c r="BC69" s="44">
        <v>46752</v>
      </c>
    </row>
    <row r="70" spans="1:55" x14ac:dyDescent="0.3">
      <c r="AB70" s="57"/>
    </row>
    <row r="71" spans="1:55" x14ac:dyDescent="0.3">
      <c r="B71" s="78"/>
      <c r="C71" s="604" t="s">
        <v>361</v>
      </c>
      <c r="D71" s="604"/>
      <c r="E71" s="604"/>
      <c r="F71" s="604"/>
      <c r="G71" s="604"/>
      <c r="H71" s="604"/>
      <c r="I71" s="604"/>
      <c r="J71" s="604"/>
      <c r="K71" s="604"/>
      <c r="L71" s="604"/>
      <c r="M71" s="77"/>
      <c r="N71" s="77"/>
      <c r="O71" s="78"/>
      <c r="P71" s="604" t="s">
        <v>360</v>
      </c>
      <c r="Q71" s="604"/>
      <c r="R71" s="604"/>
      <c r="S71" s="604"/>
      <c r="T71" s="604"/>
      <c r="U71" s="604"/>
      <c r="V71" s="604"/>
      <c r="W71" s="604"/>
      <c r="X71" s="604"/>
      <c r="Y71" s="604"/>
      <c r="Z71" s="77"/>
      <c r="AB71" s="57"/>
    </row>
    <row r="72" spans="1:55" x14ac:dyDescent="0.3">
      <c r="AB72" s="57" t="s">
        <v>284</v>
      </c>
    </row>
    <row r="73" spans="1:55" x14ac:dyDescent="0.3">
      <c r="AB73" s="53" t="s">
        <v>3</v>
      </c>
      <c r="AF73" s="55">
        <f>Inputs!F31</f>
        <v>0.02</v>
      </c>
      <c r="AG73" s="55">
        <f>Inputs!G31</f>
        <v>0.02</v>
      </c>
      <c r="AH73" s="55">
        <f>Inputs!H31</f>
        <v>0.02</v>
      </c>
      <c r="AI73" s="55">
        <f>Inputs!I31</f>
        <v>0.02</v>
      </c>
      <c r="AJ73" s="55">
        <f>Inputs!J31</f>
        <v>0.02</v>
      </c>
      <c r="AK73" s="55">
        <f>Inputs!K31</f>
        <v>0.02</v>
      </c>
      <c r="AL73" s="55">
        <f>Inputs!L31</f>
        <v>0.02</v>
      </c>
      <c r="AM73" s="55">
        <f>Inputs!M31</f>
        <v>0.02</v>
      </c>
      <c r="AN73" s="55">
        <f>Inputs!N31</f>
        <v>0.02</v>
      </c>
      <c r="AO73" s="55">
        <f>Inputs!O31</f>
        <v>0.02</v>
      </c>
      <c r="AP73" s="55">
        <f>Inputs!P31</f>
        <v>0.02</v>
      </c>
      <c r="AQ73" s="55">
        <f>Inputs!Q31</f>
        <v>0.02</v>
      </c>
      <c r="AR73" s="55">
        <f>Inputs!R31</f>
        <v>1.7999999999999999E-2</v>
      </c>
      <c r="AS73" s="55">
        <f>Inputs!S31</f>
        <v>1.7999999999999999E-2</v>
      </c>
      <c r="AT73" s="55">
        <f>Inputs!T31</f>
        <v>1.7999999999999999E-2</v>
      </c>
      <c r="AU73" s="55">
        <f>Inputs!U31</f>
        <v>1.7999999999999999E-2</v>
      </c>
      <c r="AV73" s="55">
        <f>Inputs!V31</f>
        <v>1.7999999999999999E-2</v>
      </c>
      <c r="AW73" s="55">
        <f>Inputs!W31</f>
        <v>1.7999999999999999E-2</v>
      </c>
      <c r="AX73" s="55">
        <f>Inputs!X31</f>
        <v>1.7999999999999999E-2</v>
      </c>
      <c r="AY73" s="55">
        <f>Inputs!Y31</f>
        <v>1.7999999999999999E-2</v>
      </c>
      <c r="AZ73" s="55">
        <f>Inputs!Z31</f>
        <v>1.7999999999999999E-2</v>
      </c>
      <c r="BA73" s="55">
        <f>Inputs!AA31</f>
        <v>1.7999999999999999E-2</v>
      </c>
      <c r="BB73" s="55">
        <f>Inputs!AB31</f>
        <v>1.7999999999999999E-2</v>
      </c>
      <c r="BC73" s="55">
        <f>Inputs!AC31</f>
        <v>1.7999999999999999E-2</v>
      </c>
    </row>
    <row r="74" spans="1:55" x14ac:dyDescent="0.3">
      <c r="AB74" s="53" t="s">
        <v>150</v>
      </c>
      <c r="AF74" s="54">
        <f>'Operational Model'!G143</f>
        <v>1052.0999999999999</v>
      </c>
      <c r="AG74" s="54">
        <f>'Operational Model'!H143</f>
        <v>1054.2041999999999</v>
      </c>
      <c r="AH74" s="54">
        <f>'Operational Model'!I143</f>
        <v>1056.3126083999998</v>
      </c>
      <c r="AI74" s="54">
        <f>'Operational Model'!J143</f>
        <v>1058.4252336167999</v>
      </c>
      <c r="AJ74" s="54">
        <f>'Operational Model'!K143</f>
        <v>1060.5420840840336</v>
      </c>
      <c r="AK74" s="54">
        <f>'Operational Model'!L143</f>
        <v>1062.6631682522016</v>
      </c>
      <c r="AL74" s="54">
        <f>'Operational Model'!M143</f>
        <v>1064.788494588706</v>
      </c>
      <c r="AM74" s="54">
        <f>'Operational Model'!N143</f>
        <v>1066.9180715778834</v>
      </c>
      <c r="AN74" s="54">
        <f>'Operational Model'!O143</f>
        <v>1069.0519077210392</v>
      </c>
      <c r="AO74" s="54">
        <f>'Operational Model'!P143</f>
        <v>1071.1900115364813</v>
      </c>
      <c r="AP74" s="54">
        <f>'Operational Model'!Q143</f>
        <v>1073.3323915595543</v>
      </c>
      <c r="AQ74" s="54">
        <f>'Operational Model'!R143</f>
        <v>1075.4790563426734</v>
      </c>
      <c r="AR74" s="54">
        <f>'Operational Model'!S143</f>
        <v>1078.7054935117014</v>
      </c>
      <c r="AS74" s="54">
        <f>'Operational Model'!T143</f>
        <v>1081.9416099922366</v>
      </c>
      <c r="AT74" s="54">
        <f>'Operational Model'!U143</f>
        <v>1085.1874348222134</v>
      </c>
      <c r="AU74" s="54">
        <f>'Operational Model'!V143</f>
        <v>1088.44299712668</v>
      </c>
      <c r="AV74" s="54">
        <f>'Operational Model'!W143</f>
        <v>1091.7083261180601</v>
      </c>
      <c r="AW74" s="54">
        <f>'Operational Model'!X143</f>
        <v>1094.9834510964142</v>
      </c>
      <c r="AX74" s="54">
        <f>'Operational Model'!Y143</f>
        <v>1098.2684014497036</v>
      </c>
      <c r="AY74" s="54">
        <f>'Operational Model'!Z143</f>
        <v>1101.5632066540527</v>
      </c>
      <c r="AZ74" s="54">
        <f>'Operational Model'!AA143</f>
        <v>1104.8678962740148</v>
      </c>
      <c r="BA74" s="54">
        <f>'Operational Model'!AB143</f>
        <v>1108.1824999628368</v>
      </c>
      <c r="BB74" s="54">
        <f>'Operational Model'!AC143</f>
        <v>1111.5070474627253</v>
      </c>
      <c r="BC74" s="54">
        <f>'Operational Model'!AD143</f>
        <v>1114.8415686051135</v>
      </c>
    </row>
    <row r="75" spans="1:55" x14ac:dyDescent="0.3">
      <c r="AB75" s="51" t="s">
        <v>281</v>
      </c>
      <c r="AF75" s="54">
        <f>'Operational Model'!G135</f>
        <v>850</v>
      </c>
      <c r="AG75" s="54">
        <f>'Operational Model'!H135</f>
        <v>868</v>
      </c>
      <c r="AH75" s="54">
        <f>'Operational Model'!I135</f>
        <v>885.64080000000001</v>
      </c>
      <c r="AI75" s="54">
        <f>'Operational Model'!J135</f>
        <v>902.97157600000003</v>
      </c>
      <c r="AJ75" s="54">
        <f>'Operational Model'!K135</f>
        <v>920.04010152000001</v>
      </c>
      <c r="AK75" s="54">
        <f>'Operational Model'!L135</f>
        <v>936.89283022960001</v>
      </c>
      <c r="AL75" s="54">
        <f>'Operational Model'!M135</f>
        <v>953.57497587645594</v>
      </c>
      <c r="AM75" s="54">
        <f>'Operational Model'!N135</f>
        <v>970.13058964359641</v>
      </c>
      <c r="AN75" s="54">
        <f>'Operational Model'!O135</f>
        <v>986.60263506098511</v>
      </c>
      <c r="AO75" s="54">
        <f>'Operational Model'!P135</f>
        <v>1003.0330605923027</v>
      </c>
      <c r="AP75" s="54">
        <f>'Operational Model'!Q135</f>
        <v>1019.4628700137002</v>
      </c>
      <c r="AQ75" s="54">
        <f>'Operational Model'!R135</f>
        <v>1035.9321906972482</v>
      </c>
      <c r="AR75" s="54">
        <f>'Operational Model'!S135</f>
        <v>1052.4803399079574</v>
      </c>
      <c r="AS75" s="54">
        <f>'Operational Model'!T135</f>
        <v>1073.136607704882</v>
      </c>
      <c r="AT75" s="54">
        <f>'Operational Model'!U135</f>
        <v>1093.8447105070973</v>
      </c>
      <c r="AU75" s="54">
        <f>'Operational Model'!V135</f>
        <v>1114.6380942310836</v>
      </c>
      <c r="AV75" s="54">
        <f>'Operational Model'!W135</f>
        <v>1135.5494631549493</v>
      </c>
      <c r="AW75" s="54">
        <f>'Operational Model'!X135</f>
        <v>1156.6108317392177</v>
      </c>
      <c r="AX75" s="54">
        <f>'Operational Model'!Y135</f>
        <v>1177.853574714235</v>
      </c>
      <c r="AY75" s="54">
        <f>'Operational Model'!Z135</f>
        <v>1199.3084755194056</v>
      </c>
      <c r="AZ75" s="54">
        <f>'Operational Model'!AA135</f>
        <v>1221.0057731761674</v>
      </c>
      <c r="BA75" s="54">
        <f>'Operational Model'!AB135</f>
        <v>1242.9752076734756</v>
      </c>
      <c r="BB75" s="54">
        <f>'Operational Model'!AC135</f>
        <v>1265.2460639415549</v>
      </c>
      <c r="BC75" s="54">
        <f>'Operational Model'!AD135</f>
        <v>1287.8472144868078</v>
      </c>
    </row>
    <row r="76" spans="1:55" x14ac:dyDescent="0.3">
      <c r="AB76" s="51" t="s">
        <v>56</v>
      </c>
      <c r="AF76" s="54">
        <f>'Operational Model'!G136</f>
        <v>35</v>
      </c>
      <c r="AG76" s="54">
        <f>'Operational Model'!H136</f>
        <v>35.000799999999998</v>
      </c>
      <c r="AH76" s="54">
        <f>'Operational Model'!I136</f>
        <v>35.043591999999997</v>
      </c>
      <c r="AI76" s="54">
        <f>'Operational Model'!J136</f>
        <v>35.127957040000005</v>
      </c>
      <c r="AJ76" s="54">
        <f>'Operational Model'!K136</f>
        <v>35.253530740000009</v>
      </c>
      <c r="AK76" s="54">
        <f>'Operational Model'!L136</f>
        <v>35.420002251448011</v>
      </c>
      <c r="AL76" s="54">
        <f>'Operational Model'!M136</f>
        <v>35.627113284669534</v>
      </c>
      <c r="AM76" s="54">
        <f>'Operational Model'!N136</f>
        <v>35.874657210260573</v>
      </c>
      <c r="AN76" s="54">
        <f>'Operational Model'!O136</f>
        <v>36.162478232537303</v>
      </c>
      <c r="AO76" s="54">
        <f>'Operational Model'!P136</f>
        <v>36.490470633243589</v>
      </c>
      <c r="AP76" s="54">
        <f>'Operational Model'!Q136</f>
        <v>36.858578083821847</v>
      </c>
      <c r="AQ76" s="54">
        <f>'Operational Model'!R136</f>
        <v>37.26679302465422</v>
      </c>
      <c r="AR76" s="54">
        <f>'Operational Model'!S136</f>
        <v>39.600913915267803</v>
      </c>
      <c r="AS76" s="54">
        <f>'Operational Model'!T136</f>
        <v>40.024561740903302</v>
      </c>
      <c r="AT76" s="54">
        <f>'Operational Model'!U136</f>
        <v>40.482588513114038</v>
      </c>
      <c r="AU76" s="54">
        <f>'Operational Model'!V136</f>
        <v>40.974854620025134</v>
      </c>
      <c r="AV76" s="54">
        <f>'Operational Model'!W136</f>
        <v>41.50125892105752</v>
      </c>
      <c r="AW76" s="54">
        <f>'Operational Model'!X136</f>
        <v>42.061737946323369</v>
      </c>
      <c r="AX76" s="54">
        <f>'Operational Model'!Y136</f>
        <v>42.656265150026819</v>
      </c>
      <c r="AY76" s="54">
        <f>'Operational Model'!Z136</f>
        <v>43.284850216110947</v>
      </c>
      <c r="AZ76" s="54">
        <f>'Operational Model'!AA136</f>
        <v>43.947538414479169</v>
      </c>
      <c r="BA76" s="54">
        <f>'Operational Model'!AB136</f>
        <v>44.644410006202051</v>
      </c>
      <c r="BB76" s="54">
        <f>'Operational Model'!AC136</f>
        <v>45.375579696200852</v>
      </c>
      <c r="BC76" s="54">
        <f>'Operational Model'!AD136</f>
        <v>46.14119613197618</v>
      </c>
    </row>
    <row r="77" spans="1:55" x14ac:dyDescent="0.3">
      <c r="AB77" s="51" t="s">
        <v>282</v>
      </c>
      <c r="AF77" s="54">
        <f>'Operational Model'!G137</f>
        <v>-17</v>
      </c>
      <c r="AG77" s="54">
        <f>'Operational Model'!H137</f>
        <v>-17.36</v>
      </c>
      <c r="AH77" s="54">
        <f>'Operational Model'!I137</f>
        <v>-17.712816</v>
      </c>
      <c r="AI77" s="54">
        <f>'Operational Model'!J137</f>
        <v>-18.05943152</v>
      </c>
      <c r="AJ77" s="54">
        <f>'Operational Model'!K137</f>
        <v>-18.400802030400001</v>
      </c>
      <c r="AK77" s="54">
        <f>'Operational Model'!L137</f>
        <v>-18.737856604592</v>
      </c>
      <c r="AL77" s="54">
        <f>'Operational Model'!M137</f>
        <v>-19.071499517529119</v>
      </c>
      <c r="AM77" s="54">
        <f>'Operational Model'!N137</f>
        <v>-19.40261179287193</v>
      </c>
      <c r="AN77" s="54">
        <f>'Operational Model'!O137</f>
        <v>-19.732052701219704</v>
      </c>
      <c r="AO77" s="54">
        <f>'Operational Model'!P137</f>
        <v>-20.060661211846053</v>
      </c>
      <c r="AP77" s="54">
        <f>'Operational Model'!Q137</f>
        <v>-20.389257400274005</v>
      </c>
      <c r="AQ77" s="54">
        <f>'Operational Model'!R137</f>
        <v>-20.718643813944965</v>
      </c>
      <c r="AR77" s="54">
        <f>'Operational Model'!S137</f>
        <v>-18.944646118343233</v>
      </c>
      <c r="AS77" s="54">
        <f>'Operational Model'!T137</f>
        <v>-19.316458938687873</v>
      </c>
      <c r="AT77" s="54">
        <f>'Operational Model'!U137</f>
        <v>-19.68920478912775</v>
      </c>
      <c r="AU77" s="54">
        <f>'Operational Model'!V137</f>
        <v>-20.063485696159503</v>
      </c>
      <c r="AV77" s="54">
        <f>'Operational Model'!W137</f>
        <v>-20.439890336789087</v>
      </c>
      <c r="AW77" s="54">
        <f>'Operational Model'!X137</f>
        <v>-20.818994971305916</v>
      </c>
      <c r="AX77" s="54">
        <f>'Operational Model'!Y137</f>
        <v>-21.201364344856231</v>
      </c>
      <c r="AY77" s="54">
        <f>'Operational Model'!Z137</f>
        <v>-21.587552559349302</v>
      </c>
      <c r="AZ77" s="54">
        <f>'Operational Model'!AA137</f>
        <v>-21.978103917171012</v>
      </c>
      <c r="BA77" s="54">
        <f>'Operational Model'!AB137</f>
        <v>-22.37355373812256</v>
      </c>
      <c r="BB77" s="54">
        <f>'Operational Model'!AC137</f>
        <v>-22.774429150947988</v>
      </c>
      <c r="BC77" s="54">
        <f>'Operational Model'!AD137</f>
        <v>-23.181249860762538</v>
      </c>
    </row>
    <row r="78" spans="1:55" x14ac:dyDescent="0.3">
      <c r="AB78" s="51" t="s">
        <v>71</v>
      </c>
      <c r="AF78" s="54">
        <f>'Operational Model'!G138</f>
        <v>868</v>
      </c>
      <c r="AG78" s="54">
        <f>'Operational Model'!H138</f>
        <v>885.64080000000001</v>
      </c>
      <c r="AH78" s="54">
        <f>'Operational Model'!I138</f>
        <v>902.97157600000003</v>
      </c>
      <c r="AI78" s="54">
        <f>'Operational Model'!J138</f>
        <v>920.04010152000001</v>
      </c>
      <c r="AJ78" s="54">
        <f>'Operational Model'!K138</f>
        <v>936.89283022960001</v>
      </c>
      <c r="AK78" s="54">
        <f>'Operational Model'!L138</f>
        <v>953.57497587645594</v>
      </c>
      <c r="AL78" s="54">
        <f>'Operational Model'!M138</f>
        <v>970.13058964359641</v>
      </c>
      <c r="AM78" s="54">
        <f>'Operational Model'!N138</f>
        <v>986.60263506098511</v>
      </c>
      <c r="AN78" s="54">
        <f>'Operational Model'!O138</f>
        <v>1003.0330605923027</v>
      </c>
      <c r="AO78" s="54">
        <f>'Operational Model'!P138</f>
        <v>1019.4628700137002</v>
      </c>
      <c r="AP78" s="54">
        <f>'Operational Model'!Q138</f>
        <v>1035.9321906972482</v>
      </c>
      <c r="AQ78" s="54">
        <f>'Operational Model'!R138</f>
        <v>1052.4803399079574</v>
      </c>
      <c r="AR78" s="54">
        <f>'Operational Model'!S138</f>
        <v>1073.136607704882</v>
      </c>
      <c r="AS78" s="54">
        <f>'Operational Model'!T138</f>
        <v>1093.8447105070973</v>
      </c>
      <c r="AT78" s="54">
        <f>'Operational Model'!U138</f>
        <v>1114.6380942310836</v>
      </c>
      <c r="AU78" s="54">
        <f>'Operational Model'!V138</f>
        <v>1135.5494631549493</v>
      </c>
      <c r="AV78" s="54">
        <f>'Operational Model'!W138</f>
        <v>1156.6108317392177</v>
      </c>
      <c r="AW78" s="54">
        <f>'Operational Model'!X138</f>
        <v>1177.853574714235</v>
      </c>
      <c r="AX78" s="54">
        <f>'Operational Model'!Y138</f>
        <v>1199.3084755194056</v>
      </c>
      <c r="AY78" s="54">
        <f>'Operational Model'!Z138</f>
        <v>1221.0057731761674</v>
      </c>
      <c r="AZ78" s="54">
        <f>'Operational Model'!AA138</f>
        <v>1242.9752076734756</v>
      </c>
      <c r="BA78" s="54">
        <f>'Operational Model'!AB138</f>
        <v>1265.2460639415549</v>
      </c>
      <c r="BB78" s="54">
        <f>'Operational Model'!AC138</f>
        <v>1287.8472144868078</v>
      </c>
      <c r="BC78" s="54">
        <f>'Operational Model'!AD138</f>
        <v>1310.8071607580214</v>
      </c>
    </row>
    <row r="79" spans="1:55" x14ac:dyDescent="0.3">
      <c r="AB79" s="51" t="s">
        <v>65</v>
      </c>
      <c r="AF79" s="54">
        <f>'Operational Model'!G146</f>
        <v>18</v>
      </c>
      <c r="AG79" s="54">
        <f>'Operational Model'!H146</f>
        <v>17.640799999999999</v>
      </c>
      <c r="AH79" s="54">
        <f>'Operational Model'!I146</f>
        <v>17.330775999999997</v>
      </c>
      <c r="AI79" s="54">
        <f>'Operational Model'!J146</f>
        <v>17.068525520000005</v>
      </c>
      <c r="AJ79" s="54">
        <f>'Operational Model'!K146</f>
        <v>16.852728709600008</v>
      </c>
      <c r="AK79" s="54">
        <f>'Operational Model'!L146</f>
        <v>16.682145646856011</v>
      </c>
      <c r="AL79" s="54">
        <f>'Operational Model'!M146</f>
        <v>16.555613767140414</v>
      </c>
      <c r="AM79" s="54">
        <f>'Operational Model'!N146</f>
        <v>16.472045417388642</v>
      </c>
      <c r="AN79" s="54">
        <f>'Operational Model'!O146</f>
        <v>16.430425531317599</v>
      </c>
      <c r="AO79" s="54">
        <f>'Operational Model'!P146</f>
        <v>16.429809421397536</v>
      </c>
      <c r="AP79" s="54">
        <f>'Operational Model'!Q146</f>
        <v>16.469320683547842</v>
      </c>
      <c r="AQ79" s="54">
        <f>'Operational Model'!R146</f>
        <v>16.548149210709255</v>
      </c>
      <c r="AR79" s="54">
        <f>'Operational Model'!S146</f>
        <v>20.65626779692457</v>
      </c>
      <c r="AS79" s="54">
        <f>'Operational Model'!T146</f>
        <v>20.708102802215429</v>
      </c>
      <c r="AT79" s="54">
        <f>'Operational Model'!U146</f>
        <v>20.793383723986288</v>
      </c>
      <c r="AU79" s="54">
        <f>'Operational Model'!V146</f>
        <v>20.911368923865631</v>
      </c>
      <c r="AV79" s="54">
        <f>'Operational Model'!W146</f>
        <v>21.061368584268433</v>
      </c>
      <c r="AW79" s="54">
        <f>'Operational Model'!X146</f>
        <v>21.242742975017453</v>
      </c>
      <c r="AX79" s="54">
        <f>'Operational Model'!Y146</f>
        <v>21.454900805170588</v>
      </c>
      <c r="AY79" s="54">
        <f>'Operational Model'!Z146</f>
        <v>21.697297656761645</v>
      </c>
      <c r="AZ79" s="54">
        <f>'Operational Model'!AA146</f>
        <v>21.969434497308157</v>
      </c>
      <c r="BA79" s="54">
        <f>'Operational Model'!AB146</f>
        <v>22.270856268079491</v>
      </c>
      <c r="BB79" s="54">
        <f>'Operational Model'!AC146</f>
        <v>22.601150545252864</v>
      </c>
      <c r="BC79" s="54">
        <f>'Operational Model'!AD146</f>
        <v>22.959946271213642</v>
      </c>
    </row>
    <row r="80" spans="1:55" x14ac:dyDescent="0.3">
      <c r="AB80" s="53" t="s">
        <v>66</v>
      </c>
      <c r="AF80" s="55">
        <f>'Operational Model'!G148</f>
        <v>2.1176470588235352E-2</v>
      </c>
      <c r="AG80" s="55">
        <f>'Operational Model'!H148</f>
        <v>2.0323502304147478E-2</v>
      </c>
      <c r="AH80" s="55">
        <f>'Operational Model'!I148</f>
        <v>1.9568628726228443E-2</v>
      </c>
      <c r="AI80" s="55">
        <f>'Operational Model'!J148</f>
        <v>1.8902616620127155E-2</v>
      </c>
      <c r="AJ80" s="55">
        <f>'Operational Model'!K148</f>
        <v>1.8317384950675031E-2</v>
      </c>
      <c r="AK80" s="55">
        <f>'Operational Model'!L148</f>
        <v>1.7805820589712251E-2</v>
      </c>
      <c r="AL80" s="55">
        <f>'Operational Model'!M148</f>
        <v>1.7361627754465481E-2</v>
      </c>
      <c r="AM80" s="55">
        <f>'Operational Model'!N148</f>
        <v>1.6979204236246437E-2</v>
      </c>
      <c r="AN80" s="55">
        <f>'Operational Model'!O148</f>
        <v>1.665353907178857E-2</v>
      </c>
      <c r="AO80" s="55">
        <f>'Operational Model'!P148</f>
        <v>1.6380127502173769E-2</v>
      </c>
      <c r="AP80" s="55">
        <f>'Operational Model'!Q148</f>
        <v>1.6154899965436398E-2</v>
      </c>
      <c r="AQ80" s="55">
        <f>'Operational Model'!R148</f>
        <v>1.5974162555534965E-2</v>
      </c>
      <c r="AR80" s="55">
        <f>'Operational Model'!S148</f>
        <v>1.9626274253000231E-2</v>
      </c>
      <c r="AS80" s="55">
        <f>'Operational Model'!T148</f>
        <v>1.9296800289483773E-2</v>
      </c>
      <c r="AT80" s="55">
        <f>'Operational Model'!U148</f>
        <v>1.9009447615600417E-2</v>
      </c>
      <c r="AU80" s="55">
        <f>'Operational Model'!V148</f>
        <v>1.8760680289050313E-2</v>
      </c>
      <c r="AV80" s="55">
        <f>'Operational Model'!W148</f>
        <v>1.854729297810831E-2</v>
      </c>
      <c r="AW80" s="55">
        <f>'Operational Model'!X148</f>
        <v>1.8366370426493583E-2</v>
      </c>
      <c r="AX80" s="55">
        <f>'Operational Model'!Y148</f>
        <v>1.8215252953132088E-2</v>
      </c>
      <c r="AY80" s="55">
        <f>'Operational Model'!Z148</f>
        <v>1.8091506980608019E-2</v>
      </c>
      <c r="AZ80" s="55">
        <f>'Operational Model'!AA148</f>
        <v>1.7992899771603676E-2</v>
      </c>
      <c r="BA80" s="55">
        <f>'Operational Model'!AB148</f>
        <v>1.7917377700368275E-2</v>
      </c>
      <c r="BB80" s="55">
        <f>'Operational Model'!AC148</f>
        <v>1.7863047504644847E-2</v>
      </c>
      <c r="BC80" s="55">
        <f>'Operational Model'!AD148</f>
        <v>1.7828160058849019E-2</v>
      </c>
    </row>
    <row r="81" spans="28:33" x14ac:dyDescent="0.3">
      <c r="AB81" s="57"/>
    </row>
    <row r="82" spans="28:33" x14ac:dyDescent="0.3">
      <c r="AB82" s="57"/>
    </row>
    <row r="83" spans="28:33" x14ac:dyDescent="0.3">
      <c r="AB83" s="57"/>
    </row>
    <row r="84" spans="28:33" x14ac:dyDescent="0.3">
      <c r="AF84" s="91" t="s">
        <v>293</v>
      </c>
      <c r="AG84" s="91" t="s">
        <v>294</v>
      </c>
    </row>
    <row r="85" spans="28:33" x14ac:dyDescent="0.3">
      <c r="AB85" s="51"/>
    </row>
    <row r="86" spans="28:33" x14ac:dyDescent="0.3">
      <c r="AB86" s="51" t="s">
        <v>281</v>
      </c>
      <c r="AF86" s="54">
        <f>AF75</f>
        <v>850</v>
      </c>
      <c r="AG86" s="54">
        <f>AR75</f>
        <v>1052.4803399079574</v>
      </c>
    </row>
    <row r="87" spans="28:33" x14ac:dyDescent="0.3">
      <c r="AB87" s="51" t="s">
        <v>56</v>
      </c>
      <c r="AF87" s="54">
        <f>SUM(AF76:AQ76)</f>
        <v>429.12597250063504</v>
      </c>
      <c r="AG87" s="54">
        <f>SUM(AR76:BC76)</f>
        <v>510.69575527168718</v>
      </c>
    </row>
    <row r="88" spans="28:33" x14ac:dyDescent="0.3">
      <c r="AB88" s="51" t="s">
        <v>282</v>
      </c>
      <c r="AF88" s="54">
        <f>SUM(AF77:AQ77)</f>
        <v>-226.6456325926778</v>
      </c>
      <c r="AG88" s="54">
        <f>SUM(AR77:BC77)</f>
        <v>-252.36893442162295</v>
      </c>
    </row>
    <row r="89" spans="28:33" x14ac:dyDescent="0.3">
      <c r="AB89" s="51" t="s">
        <v>71</v>
      </c>
      <c r="AF89" s="54">
        <f>AQ78</f>
        <v>1052.4803399079574</v>
      </c>
      <c r="AG89" s="54">
        <f>BC78</f>
        <v>1310.8071607580214</v>
      </c>
    </row>
    <row r="91" spans="28:33" x14ac:dyDescent="0.3">
      <c r="AB91" s="57"/>
    </row>
    <row r="92" spans="28:33" x14ac:dyDescent="0.3">
      <c r="AB92" s="57"/>
    </row>
    <row r="93" spans="28:33" x14ac:dyDescent="0.3">
      <c r="AB93" s="57"/>
    </row>
    <row r="94" spans="28:33" x14ac:dyDescent="0.3">
      <c r="AB94" s="57"/>
    </row>
    <row r="95" spans="28:33" x14ac:dyDescent="0.3">
      <c r="AB95" s="57"/>
    </row>
    <row r="96" spans="28:33" x14ac:dyDescent="0.3">
      <c r="AB96" s="57"/>
    </row>
    <row r="97" spans="2:28" x14ac:dyDescent="0.3">
      <c r="AB97" s="57"/>
    </row>
    <row r="98" spans="2:28" x14ac:dyDescent="0.3">
      <c r="AB98" s="57"/>
    </row>
    <row r="99" spans="2:28" x14ac:dyDescent="0.3">
      <c r="B99" s="78"/>
      <c r="C99" s="604" t="s">
        <v>65</v>
      </c>
      <c r="D99" s="604"/>
      <c r="E99" s="604"/>
      <c r="F99" s="604"/>
      <c r="G99" s="604"/>
      <c r="H99" s="604"/>
      <c r="I99" s="604"/>
      <c r="J99" s="604"/>
      <c r="K99" s="604"/>
      <c r="L99" s="604"/>
      <c r="M99" s="77"/>
      <c r="N99" s="77"/>
      <c r="O99" s="78"/>
      <c r="P99" s="604" t="s">
        <v>285</v>
      </c>
      <c r="Q99" s="604"/>
      <c r="R99" s="604"/>
      <c r="S99" s="604"/>
      <c r="T99" s="604"/>
      <c r="U99" s="604"/>
      <c r="V99" s="604"/>
      <c r="W99" s="604"/>
      <c r="X99" s="604"/>
      <c r="Y99" s="604"/>
      <c r="Z99" s="77"/>
      <c r="AB99" s="57"/>
    </row>
    <row r="100" spans="2:28" x14ac:dyDescent="0.3">
      <c r="AB100" s="57"/>
    </row>
    <row r="101" spans="2:28" x14ac:dyDescent="0.3">
      <c r="AB101" s="57"/>
    </row>
    <row r="102" spans="2:28" x14ac:dyDescent="0.3">
      <c r="AB102" s="57"/>
    </row>
    <row r="103" spans="2:28" x14ac:dyDescent="0.3">
      <c r="AB103" s="57"/>
    </row>
    <row r="104" spans="2:28" x14ac:dyDescent="0.3">
      <c r="AB104" s="57"/>
    </row>
    <row r="105" spans="2:28" x14ac:dyDescent="0.3">
      <c r="AB105" s="57"/>
    </row>
    <row r="106" spans="2:28" x14ac:dyDescent="0.3">
      <c r="AB106" s="57"/>
    </row>
    <row r="107" spans="2:28" x14ac:dyDescent="0.3">
      <c r="AB107" s="57"/>
    </row>
    <row r="108" spans="2:28" x14ac:dyDescent="0.3">
      <c r="AB108" s="57"/>
    </row>
    <row r="109" spans="2:28" x14ac:dyDescent="0.3">
      <c r="AB109" s="57"/>
    </row>
    <row r="110" spans="2:28" x14ac:dyDescent="0.3">
      <c r="AB110" s="57"/>
    </row>
    <row r="111" spans="2:28" x14ac:dyDescent="0.3">
      <c r="AB111" s="57"/>
    </row>
    <row r="112" spans="2:28" x14ac:dyDescent="0.3">
      <c r="AB112" s="57"/>
    </row>
    <row r="113" spans="1:55" x14ac:dyDescent="0.3">
      <c r="AB113" s="57"/>
    </row>
    <row r="114" spans="1:55" x14ac:dyDescent="0.3">
      <c r="AB114" s="57"/>
    </row>
    <row r="115" spans="1:55" x14ac:dyDescent="0.3">
      <c r="AB115" s="57"/>
    </row>
    <row r="116" spans="1:55" x14ac:dyDescent="0.3">
      <c r="AB116" s="57"/>
    </row>
    <row r="117" spans="1:55" x14ac:dyDescent="0.3">
      <c r="AB117" s="57"/>
    </row>
    <row r="118" spans="1:55" x14ac:dyDescent="0.3">
      <c r="AB118" s="57"/>
    </row>
    <row r="119" spans="1:55" x14ac:dyDescent="0.3">
      <c r="AB119" s="57"/>
    </row>
    <row r="120" spans="1:55" x14ac:dyDescent="0.3">
      <c r="AB120" s="57"/>
    </row>
    <row r="121" spans="1:55" x14ac:dyDescent="0.3">
      <c r="AB121" s="57"/>
    </row>
    <row r="122" spans="1:55" x14ac:dyDescent="0.3">
      <c r="AB122" s="57"/>
    </row>
    <row r="123" spans="1:55" x14ac:dyDescent="0.3">
      <c r="AB123" s="57"/>
    </row>
    <row r="124" spans="1:55" x14ac:dyDescent="0.3">
      <c r="AB124" s="57"/>
    </row>
    <row r="125" spans="1:55" x14ac:dyDescent="0.3">
      <c r="AB125" s="57"/>
    </row>
    <row r="126" spans="1:55" x14ac:dyDescent="0.3">
      <c r="AB126" s="57"/>
    </row>
    <row r="127" spans="1:55" ht="21" x14ac:dyDescent="0.3">
      <c r="A127" t="s">
        <v>33</v>
      </c>
      <c r="B127" s="5" t="s">
        <v>152</v>
      </c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B127" s="5" t="s">
        <v>151</v>
      </c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</row>
    <row r="128" spans="1:55" x14ac:dyDescent="0.3"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</row>
    <row r="129" spans="2:55" x14ac:dyDescent="0.3">
      <c r="B129" s="38" t="s">
        <v>24</v>
      </c>
      <c r="AB129" s="38" t="s">
        <v>24</v>
      </c>
      <c r="AF129" s="47">
        <v>2026</v>
      </c>
      <c r="AG129" s="48">
        <v>2026</v>
      </c>
      <c r="AH129" s="49">
        <v>2026</v>
      </c>
      <c r="AI129" s="48">
        <v>2026</v>
      </c>
      <c r="AJ129" s="48">
        <v>2026</v>
      </c>
      <c r="AK129" s="49">
        <v>2026</v>
      </c>
      <c r="AL129" s="48">
        <v>2026</v>
      </c>
      <c r="AM129" s="48">
        <v>2026</v>
      </c>
      <c r="AN129" s="49">
        <v>2026</v>
      </c>
      <c r="AO129" s="48">
        <v>2026</v>
      </c>
      <c r="AP129" s="48">
        <v>2026</v>
      </c>
      <c r="AQ129" s="50">
        <v>2026</v>
      </c>
      <c r="AR129" s="48">
        <v>2027</v>
      </c>
      <c r="AS129" s="48">
        <v>2027</v>
      </c>
      <c r="AT129" s="49">
        <v>2027</v>
      </c>
      <c r="AU129" s="48">
        <v>2027</v>
      </c>
      <c r="AV129" s="48">
        <v>2027</v>
      </c>
      <c r="AW129" s="49">
        <v>2027</v>
      </c>
      <c r="AX129" s="48">
        <v>2027</v>
      </c>
      <c r="AY129" s="48">
        <v>2027</v>
      </c>
      <c r="AZ129" s="49">
        <v>2027</v>
      </c>
      <c r="BA129" s="48">
        <v>2027</v>
      </c>
      <c r="BB129" s="48">
        <v>2027</v>
      </c>
      <c r="BC129" s="50">
        <v>2027</v>
      </c>
    </row>
    <row r="130" spans="2:55" x14ac:dyDescent="0.3">
      <c r="B130" s="38" t="str" cm="1">
        <f t="array" ref="B130">CONCATENATE("Model Running: ",INDEX(Inputs!$B$15:$B$17,Inputs!$D$8)," Drivers")</f>
        <v>Model Running: Base Case Drivers</v>
      </c>
      <c r="AF130" s="40">
        <v>1</v>
      </c>
      <c r="AG130" s="39">
        <v>1</v>
      </c>
      <c r="AH130" s="45">
        <v>1</v>
      </c>
      <c r="AI130" s="39">
        <v>2</v>
      </c>
      <c r="AJ130" s="39">
        <v>2</v>
      </c>
      <c r="AK130" s="45">
        <v>2</v>
      </c>
      <c r="AL130" s="39">
        <v>3</v>
      </c>
      <c r="AM130" s="39">
        <v>3</v>
      </c>
      <c r="AN130" s="45">
        <v>3</v>
      </c>
      <c r="AO130" s="39">
        <v>4</v>
      </c>
      <c r="AP130" s="39">
        <v>4</v>
      </c>
      <c r="AQ130" s="41">
        <v>4</v>
      </c>
      <c r="AR130" s="39">
        <v>1</v>
      </c>
      <c r="AS130" s="39">
        <v>1</v>
      </c>
      <c r="AT130" s="45">
        <v>1</v>
      </c>
      <c r="AU130" s="39">
        <v>2</v>
      </c>
      <c r="AV130" s="39">
        <v>2</v>
      </c>
      <c r="AW130" s="45">
        <v>2</v>
      </c>
      <c r="AX130" s="39">
        <v>3</v>
      </c>
      <c r="AY130" s="39">
        <v>3</v>
      </c>
      <c r="AZ130" s="45">
        <v>3</v>
      </c>
      <c r="BA130" s="39">
        <v>4</v>
      </c>
      <c r="BB130" s="39">
        <v>4</v>
      </c>
      <c r="BC130" s="41">
        <v>4</v>
      </c>
    </row>
    <row r="131" spans="2:55" x14ac:dyDescent="0.3">
      <c r="B131" s="38"/>
      <c r="AF131" s="42">
        <v>46053</v>
      </c>
      <c r="AG131" s="43">
        <v>46081</v>
      </c>
      <c r="AH131" s="46">
        <v>46112</v>
      </c>
      <c r="AI131" s="43">
        <v>46142</v>
      </c>
      <c r="AJ131" s="43">
        <v>46173</v>
      </c>
      <c r="AK131" s="46">
        <v>46203</v>
      </c>
      <c r="AL131" s="43">
        <v>46234</v>
      </c>
      <c r="AM131" s="43">
        <v>46265</v>
      </c>
      <c r="AN131" s="46">
        <v>46295</v>
      </c>
      <c r="AO131" s="43">
        <v>46326</v>
      </c>
      <c r="AP131" s="43">
        <v>46356</v>
      </c>
      <c r="AQ131" s="44">
        <v>46387</v>
      </c>
      <c r="AR131" s="43">
        <v>46418</v>
      </c>
      <c r="AS131" s="43">
        <v>46446</v>
      </c>
      <c r="AT131" s="46">
        <v>46477</v>
      </c>
      <c r="AU131" s="43">
        <v>46507</v>
      </c>
      <c r="AV131" s="43">
        <v>46538</v>
      </c>
      <c r="AW131" s="46">
        <v>46568</v>
      </c>
      <c r="AX131" s="43">
        <v>46599</v>
      </c>
      <c r="AY131" s="43">
        <v>46630</v>
      </c>
      <c r="AZ131" s="46">
        <v>46660</v>
      </c>
      <c r="BA131" s="43">
        <v>46691</v>
      </c>
      <c r="BB131" s="43">
        <v>46721</v>
      </c>
      <c r="BC131" s="44">
        <v>46752</v>
      </c>
    </row>
    <row r="133" spans="2:55" x14ac:dyDescent="0.3">
      <c r="B133" s="78"/>
      <c r="C133" s="604" t="s">
        <v>289</v>
      </c>
      <c r="D133" s="604"/>
      <c r="E133" s="604"/>
      <c r="F133" s="604"/>
      <c r="G133" s="604"/>
      <c r="H133" s="604"/>
      <c r="I133" s="604"/>
      <c r="J133" s="604"/>
      <c r="K133" s="604"/>
      <c r="L133" s="604"/>
      <c r="M133" s="77"/>
      <c r="N133" s="77"/>
      <c r="O133" s="78"/>
      <c r="P133" s="604" t="s">
        <v>162</v>
      </c>
      <c r="Q133" s="604"/>
      <c r="R133" s="604"/>
      <c r="S133" s="604"/>
      <c r="T133" s="604"/>
      <c r="U133" s="604"/>
      <c r="V133" s="604"/>
      <c r="W133" s="604"/>
      <c r="X133" s="604"/>
      <c r="Y133" s="604"/>
    </row>
    <row r="134" spans="2:55" x14ac:dyDescent="0.3">
      <c r="AB134" s="19" t="s">
        <v>152</v>
      </c>
    </row>
    <row r="135" spans="2:55" x14ac:dyDescent="0.3">
      <c r="AB135" s="53" t="s">
        <v>290</v>
      </c>
      <c r="AF135" s="54">
        <f>-'Operational Model'!G12</f>
        <v>89.924166666666665</v>
      </c>
      <c r="AG135" s="54">
        <f>-'Operational Model'!H12</f>
        <v>92.872500000000002</v>
      </c>
      <c r="AH135" s="54">
        <f>-'Operational Model'!I12</f>
        <v>95.820833333333326</v>
      </c>
      <c r="AI135" s="54">
        <f>-'Operational Model'!J12</f>
        <v>98.769166666666663</v>
      </c>
      <c r="AJ135" s="54">
        <f>-'Operational Model'!K12</f>
        <v>101.7175</v>
      </c>
      <c r="AK135" s="54">
        <f>-'Operational Model'!L12</f>
        <v>104.66583333333332</v>
      </c>
      <c r="AL135" s="54">
        <f>-'Operational Model'!M12</f>
        <v>107.61416666666666</v>
      </c>
      <c r="AM135" s="54">
        <f>-'Operational Model'!N12</f>
        <v>110.5625</v>
      </c>
      <c r="AN135" s="54">
        <f>-'Operational Model'!O12</f>
        <v>113.51083333333332</v>
      </c>
      <c r="AO135" s="54">
        <f>-'Operational Model'!P12</f>
        <v>116.45916666666666</v>
      </c>
      <c r="AP135" s="54">
        <f>-'Operational Model'!Q12</f>
        <v>119.4075</v>
      </c>
      <c r="AQ135" s="54">
        <f>-'Operational Model'!R12</f>
        <v>122.35583333333332</v>
      </c>
      <c r="AR135" s="54">
        <f>-'Operational Model'!S12</f>
        <v>124.56708333333331</v>
      </c>
      <c r="AS135" s="54">
        <f>-'Operational Model'!T12</f>
        <v>126.18866666666665</v>
      </c>
      <c r="AT135" s="54">
        <f>-'Operational Model'!U12</f>
        <v>127.95766666666667</v>
      </c>
      <c r="AU135" s="54">
        <f>-'Operational Model'!V12</f>
        <v>129.72666666666666</v>
      </c>
      <c r="AV135" s="54">
        <f>-'Operational Model'!W12</f>
        <v>131.49566666666666</v>
      </c>
      <c r="AW135" s="54">
        <f>-'Operational Model'!X12</f>
        <v>133.26466666666667</v>
      </c>
      <c r="AX135" s="54">
        <f>-'Operational Model'!Y12</f>
        <v>135.03366666666668</v>
      </c>
      <c r="AY135" s="54">
        <f>-'Operational Model'!Z12</f>
        <v>136.80266666666668</v>
      </c>
      <c r="AZ135" s="54">
        <f>-'Operational Model'!AA12</f>
        <v>138.57166666666669</v>
      </c>
      <c r="BA135" s="54">
        <f>-'Operational Model'!AB12</f>
        <v>140.34066666666669</v>
      </c>
      <c r="BB135" s="54">
        <f>-'Operational Model'!AC12</f>
        <v>142.1096666666667</v>
      </c>
      <c r="BC135" s="54">
        <f>-'Operational Model'!AD12</f>
        <v>143.87866666666667</v>
      </c>
    </row>
    <row r="136" spans="2:55" x14ac:dyDescent="0.3">
      <c r="AB136" s="53" t="s">
        <v>205</v>
      </c>
      <c r="AF136" s="54">
        <f>-'Operational Model'!G13</f>
        <v>45.661139999999996</v>
      </c>
      <c r="AG136" s="54">
        <f>-'Operational Model'!H13</f>
        <v>46.682312552568</v>
      </c>
      <c r="AH136" s="54">
        <f>-'Operational Model'!I13</f>
        <v>47.691013037780948</v>
      </c>
      <c r="AI136" s="54">
        <f>-'Operational Model'!J13</f>
        <v>48.689682969406526</v>
      </c>
      <c r="AJ136" s="54">
        <f>-'Operational Model'!K13</f>
        <v>49.680713736754434</v>
      </c>
      <c r="AK136" s="54">
        <f>-'Operational Model'!L13</f>
        <v>50.666450251544575</v>
      </c>
      <c r="AL136" s="54">
        <f>-'Operational Model'!M13</f>
        <v>51.649194505052947</v>
      </c>
      <c r="AM136" s="54">
        <f>-'Operational Model'!N13</f>
        <v>52.631209040646233</v>
      </c>
      <c r="AN136" s="54">
        <f>-'Operational Model'!O13</f>
        <v>53.6147203466737</v>
      </c>
      <c r="AO136" s="54">
        <f>-'Operational Model'!P13</f>
        <v>54.601922174549493</v>
      </c>
      <c r="AP136" s="54">
        <f>-'Operational Model'!Q13</f>
        <v>55.59497878673028</v>
      </c>
      <c r="AQ136" s="54">
        <f>-'Operational Model'!R13</f>
        <v>56.596028139171317</v>
      </c>
      <c r="AR136" s="54">
        <f>-'Operational Model'!S13</f>
        <v>57.879917700988393</v>
      </c>
      <c r="AS136" s="54">
        <f>-'Operational Model'!T13</f>
        <v>59.173805358377052</v>
      </c>
      <c r="AT136" s="54">
        <f>-'Operational Model'!U13</f>
        <v>60.479562711687514</v>
      </c>
      <c r="AU136" s="54">
        <f>-'Operational Model'!V13</f>
        <v>61.799043053098281</v>
      </c>
      <c r="AV136" s="54">
        <f>-'Operational Model'!W13</f>
        <v>63.134083754401935</v>
      </c>
      <c r="AW136" s="54">
        <f>-'Operational Model'!X13</f>
        <v>64.48650860634207</v>
      </c>
      <c r="AX136" s="54">
        <f>-'Operational Model'!Y13</f>
        <v>65.85813011268894</v>
      </c>
      <c r="AY136" s="54">
        <f>-'Operational Model'!Z13</f>
        <v>67.250751742152502</v>
      </c>
      <c r="AZ136" s="54">
        <f>-'Operational Model'!AA13</f>
        <v>68.666170141147475</v>
      </c>
      <c r="BA136" s="54">
        <f>-'Operational Model'!AB13</f>
        <v>70.106177310344606</v>
      </c>
      <c r="BB136" s="54">
        <f>-'Operational Model'!AC13</f>
        <v>71.572562747866371</v>
      </c>
      <c r="BC136" s="54">
        <f>-'Operational Model'!AD13</f>
        <v>73.06711556191442</v>
      </c>
    </row>
    <row r="137" spans="2:55" x14ac:dyDescent="0.3">
      <c r="AB137" s="53" t="s">
        <v>194</v>
      </c>
      <c r="AF137" s="54">
        <f>-'Operational Model'!G19</f>
        <v>309.96160866666668</v>
      </c>
      <c r="AG137" s="54">
        <f>-'Operational Model'!H19</f>
        <v>319.17505848052372</v>
      </c>
      <c r="AH137" s="54">
        <f>-'Operational Model'!I19</f>
        <v>328.35358650578667</v>
      </c>
      <c r="AI137" s="54">
        <f>-'Operational Model'!J19</f>
        <v>337.50402898100492</v>
      </c>
      <c r="AJ137" s="54">
        <f>-'Operational Model'!K19</f>
        <v>346.63308179624573</v>
      </c>
      <c r="AK137" s="54">
        <f>-'Operational Model'!L19</f>
        <v>355.74731070432483</v>
      </c>
      <c r="AL137" s="54">
        <f>-'Operational Model'!M19</f>
        <v>364.8531612808149</v>
      </c>
      <c r="AM137" s="54">
        <f>-'Operational Model'!N19</f>
        <v>373.95696864714279</v>
      </c>
      <c r="AN137" s="54">
        <f>-'Operational Model'!O19</f>
        <v>383.06496697068633</v>
      </c>
      <c r="AO137" s="54">
        <f>-'Operational Model'!P19</f>
        <v>392.18329875540525</v>
      </c>
      <c r="AP137" s="54">
        <f>-'Operational Model'!Q19</f>
        <v>401.31802393617818</v>
      </c>
      <c r="AQ137" s="54">
        <f>-'Operational Model'!R19</f>
        <v>410.47512878967962</v>
      </c>
      <c r="AR137" s="54">
        <f>-'Operational Model'!S19</f>
        <v>417.74158787541433</v>
      </c>
      <c r="AS137" s="54">
        <f>-'Operational Model'!T19</f>
        <v>423.45928612245393</v>
      </c>
      <c r="AT137" s="54">
        <f>-'Operational Model'!U19</f>
        <v>429.1577518300237</v>
      </c>
      <c r="AU137" s="54">
        <f>-'Operational Model'!V19</f>
        <v>434.84131377109395</v>
      </c>
      <c r="AV137" s="54">
        <f>-'Operational Model'!W19</f>
        <v>440.5141094702185</v>
      </c>
      <c r="AW137" s="54">
        <f>-'Operational Model'!X19</f>
        <v>446.18009306499664</v>
      </c>
      <c r="AX137" s="54">
        <f>-'Operational Model'!Y19</f>
        <v>451.8430427664191</v>
      </c>
      <c r="AY137" s="54">
        <f>-'Operational Model'!Z19</f>
        <v>457.50656793261578</v>
      </c>
      <c r="AZ137" s="54">
        <f>-'Operational Model'!AA19</f>
        <v>463.17411576980624</v>
      </c>
      <c r="BA137" s="54">
        <f>-'Operational Model'!AB19</f>
        <v>468.84897767356244</v>
      </c>
      <c r="BB137" s="54">
        <f>-'Operational Model'!AC19</f>
        <v>475.96574647778573</v>
      </c>
      <c r="BC137" s="54">
        <f>-'Operational Model'!AD19</f>
        <v>483.15575046097729</v>
      </c>
    </row>
    <row r="138" spans="2:55" x14ac:dyDescent="0.3">
      <c r="AB138" s="53" t="s">
        <v>291</v>
      </c>
      <c r="AF138" s="54">
        <f>-'Operational Model'!G20</f>
        <v>306.77916666666664</v>
      </c>
      <c r="AG138" s="54">
        <f>-'Operational Model'!H20</f>
        <v>315.42083333333329</v>
      </c>
      <c r="AH138" s="54">
        <f>-'Operational Model'!I20</f>
        <v>324.0625</v>
      </c>
      <c r="AI138" s="54">
        <f>-'Operational Model'!J20</f>
        <v>332.70416666666665</v>
      </c>
      <c r="AJ138" s="54">
        <f>-'Operational Model'!K20</f>
        <v>341.3458333333333</v>
      </c>
      <c r="AK138" s="54">
        <f>-'Operational Model'!L20</f>
        <v>349.98750000000001</v>
      </c>
      <c r="AL138" s="54">
        <f>-'Operational Model'!M20</f>
        <v>358.62916666666666</v>
      </c>
      <c r="AM138" s="54">
        <f>-'Operational Model'!N20</f>
        <v>367.27083333333326</v>
      </c>
      <c r="AN138" s="54">
        <f>-'Operational Model'!O20</f>
        <v>375.91249999999997</v>
      </c>
      <c r="AO138" s="54">
        <f>-'Operational Model'!P20</f>
        <v>384.55416666666662</v>
      </c>
      <c r="AP138" s="54">
        <f>-'Operational Model'!Q20</f>
        <v>393.19583333333327</v>
      </c>
      <c r="AQ138" s="54">
        <f>-'Operational Model'!R20</f>
        <v>401.83749999999998</v>
      </c>
      <c r="AR138" s="54">
        <f>-'Operational Model'!S20</f>
        <v>408.31874999999997</v>
      </c>
      <c r="AS138" s="54">
        <f>-'Operational Model'!T20</f>
        <v>412.63958333333329</v>
      </c>
      <c r="AT138" s="54">
        <f>-'Operational Model'!U20</f>
        <v>416.96041666666662</v>
      </c>
      <c r="AU138" s="54">
        <f>-'Operational Model'!V20</f>
        <v>421.28125</v>
      </c>
      <c r="AV138" s="54">
        <f>-'Operational Model'!W20</f>
        <v>425.60208333333327</v>
      </c>
      <c r="AW138" s="54">
        <f>-'Operational Model'!X20</f>
        <v>429.92291666666665</v>
      </c>
      <c r="AX138" s="54">
        <f>-'Operational Model'!Y20</f>
        <v>434.24374999999998</v>
      </c>
      <c r="AY138" s="54">
        <f>-'Operational Model'!Z20</f>
        <v>438.5645833333333</v>
      </c>
      <c r="AZ138" s="54">
        <f>-'Operational Model'!AA20</f>
        <v>442.88541666666663</v>
      </c>
      <c r="BA138" s="54">
        <f>-'Operational Model'!AB20</f>
        <v>447.20625000000001</v>
      </c>
      <c r="BB138" s="54">
        <f>-'Operational Model'!AC20</f>
        <v>451.52708333333328</v>
      </c>
      <c r="BC138" s="54">
        <f>-'Operational Model'!AD20</f>
        <v>455.84791666666661</v>
      </c>
    </row>
    <row r="139" spans="2:55" x14ac:dyDescent="0.3">
      <c r="AB139" s="53" t="s">
        <v>86</v>
      </c>
      <c r="AF139" s="54">
        <f>-'Operational Model'!G21</f>
        <v>204.65519666666665</v>
      </c>
      <c r="AG139" s="54">
        <f>-'Operational Model'!H21</f>
        <v>208.68004177180268</v>
      </c>
      <c r="AH139" s="54">
        <f>-'Operational Model'!I21</f>
        <v>212.67994274222858</v>
      </c>
      <c r="AI139" s="54">
        <f>-'Operational Model'!J21</f>
        <v>216.65978260547973</v>
      </c>
      <c r="AJ139" s="54">
        <f>-'Operational Model'!K21</f>
        <v>220.62434414017554</v>
      </c>
      <c r="AK139" s="54">
        <f>-'Operational Model'!L21</f>
        <v>224.57831716975585</v>
      </c>
      <c r="AL139" s="54">
        <f>-'Operational Model'!M21</f>
        <v>228.52630567677258</v>
      </c>
      <c r="AM139" s="54">
        <f>-'Operational Model'!N21</f>
        <v>232.47283474795918</v>
      </c>
      <c r="AN139" s="54">
        <f>-'Operational Model'!O21</f>
        <v>236.42235736001408</v>
      </c>
      <c r="AO139" s="54">
        <f>-'Operational Model'!P21</f>
        <v>240.37926101576574</v>
      </c>
      <c r="AP139" s="54">
        <f>-'Operational Model'!Q21</f>
        <v>244.34787424012728</v>
      </c>
      <c r="AQ139" s="54">
        <f>-'Operational Model'!R21</f>
        <v>248.33247294500939</v>
      </c>
      <c r="AR139" s="54">
        <f>-'Operational Model'!S21</f>
        <v>251.06432038129043</v>
      </c>
      <c r="AS139" s="54">
        <f>-'Operational Model'!T21</f>
        <v>253.10357516908579</v>
      </c>
      <c r="AT139" s="54">
        <f>-'Operational Model'!U21</f>
        <v>255.11410166067387</v>
      </c>
      <c r="AU139" s="54">
        <f>-'Operational Model'!V21</f>
        <v>257.09874599528212</v>
      </c>
      <c r="AV139" s="54">
        <f>-'Operational Model'!W21</f>
        <v>259.06017580003044</v>
      </c>
      <c r="AW139" s="54">
        <f>-'Operational Model'!X21</f>
        <v>261.00088617992321</v>
      </c>
      <c r="AX139" s="54">
        <f>-'Operational Model'!Y21</f>
        <v>262.92320534293486</v>
      </c>
      <c r="AY139" s="54">
        <f>-'Operational Model'!Z21</f>
        <v>264.82929987222735</v>
      </c>
      <c r="AZ139" s="54">
        <f>-'Operational Model'!AA21</f>
        <v>266.72117965688858</v>
      </c>
      <c r="BA139" s="54">
        <f>-'Operational Model'!AB21</f>
        <v>268.60070249195377</v>
      </c>
      <c r="BB139" s="54">
        <f>-'Operational Model'!AC21</f>
        <v>271.90102961282628</v>
      </c>
      <c r="BC139" s="54">
        <f>-'Operational Model'!AD21</f>
        <v>275.25205801144614</v>
      </c>
    </row>
    <row r="140" spans="2:55" x14ac:dyDescent="0.3">
      <c r="AB140" s="51" t="s">
        <v>286</v>
      </c>
      <c r="AF140" s="55">
        <f>'Operational Model'!G16</f>
        <v>0.85153096630234515</v>
      </c>
      <c r="AG140" s="55">
        <f>'Operational Model'!H16</f>
        <v>0.85052710017801914</v>
      </c>
      <c r="AH140" s="55">
        <f>'Operational Model'!I16</f>
        <v>0.84953994764440854</v>
      </c>
      <c r="AI140" s="55">
        <f>'Operational Model'!J16</f>
        <v>0.84857279751777515</v>
      </c>
      <c r="AJ140" s="55">
        <f>'Operational Model'!K16</f>
        <v>0.84762878554948373</v>
      </c>
      <c r="AK140" s="55">
        <f>'Operational Model'!L16</f>
        <v>0.84671090750023226</v>
      </c>
      <c r="AL140" s="55">
        <f>'Operational Model'!M16</f>
        <v>0.84582202810913298</v>
      </c>
      <c r="AM140" s="55">
        <f>'Operational Model'!N16</f>
        <v>0.84496488678930559</v>
      </c>
      <c r="AN140" s="55">
        <f>'Operational Model'!O16</f>
        <v>0.84414210071471951</v>
      </c>
      <c r="AO140" s="55">
        <f>'Operational Model'!P16</f>
        <v>0.84335616583755602</v>
      </c>
      <c r="AP140" s="55">
        <f>'Operational Model'!Q16</f>
        <v>0.84260945628015882</v>
      </c>
      <c r="AQ140" s="55">
        <f>'Operational Model'!R16</f>
        <v>0.84190422247259411</v>
      </c>
      <c r="AR140" s="55">
        <f>'Operational Model'!S16</f>
        <v>0.84239179297312117</v>
      </c>
      <c r="AS140" s="55">
        <f>'Operational Model'!T16</f>
        <v>0.84337455492136726</v>
      </c>
      <c r="AT140" s="55">
        <f>'Operational Model'!U16</f>
        <v>0.84421412711211674</v>
      </c>
      <c r="AU140" s="55">
        <f>'Operational Model'!V16</f>
        <v>0.84504152470839677</v>
      </c>
      <c r="AV140" s="55">
        <f>'Operational Model'!W16</f>
        <v>0.84586000235768177</v>
      </c>
      <c r="AW140" s="55">
        <f>'Operational Model'!X16</f>
        <v>0.84667244393693175</v>
      </c>
      <c r="AX140" s="55">
        <f>'Operational Model'!Y16</f>
        <v>0.84748139946001155</v>
      </c>
      <c r="AY140" s="55">
        <f>'Operational Model'!Z16</f>
        <v>0.8482891171304785</v>
      </c>
      <c r="AZ140" s="55">
        <f>'Operational Model'!AA16</f>
        <v>0.84909757135003727</v>
      </c>
      <c r="BA140" s="55">
        <f>'Operational Model'!AB16</f>
        <v>0.84990848734669289</v>
      </c>
      <c r="BB140" s="55">
        <f>'Operational Model'!AC16</f>
        <v>0.85072336296851181</v>
      </c>
      <c r="BC140" s="55">
        <f>'Operational Model'!AD16</f>
        <v>0.85154348809297864</v>
      </c>
    </row>
    <row r="141" spans="2:55" x14ac:dyDescent="0.3">
      <c r="AB141" s="51" t="s">
        <v>162</v>
      </c>
      <c r="AF141" s="54">
        <f>'Operational Model'!G22</f>
        <v>-43.758478666666747</v>
      </c>
      <c r="AG141" s="54">
        <f>'Operational Model'!H22</f>
        <v>-49.184495086867628</v>
      </c>
      <c r="AH141" s="54">
        <f>'Operational Model'!I22</f>
        <v>-54.787614863510726</v>
      </c>
      <c r="AI141" s="54">
        <f>'Operational Model'!J22</f>
        <v>-60.533168501093996</v>
      </c>
      <c r="AJ141" s="54">
        <f>'Operational Model'!K22</f>
        <v>-66.387198271420289</v>
      </c>
      <c r="AK141" s="54">
        <f>'Operational Model'!L22</f>
        <v>-72.316406428067125</v>
      </c>
      <c r="AL141" s="54">
        <f>'Operational Model'!M22</f>
        <v>-78.28810469491475</v>
      </c>
      <c r="AM141" s="54">
        <f>'Operational Model'!N22</f>
        <v>-84.270164956156805</v>
      </c>
      <c r="AN141" s="54">
        <f>'Operational Model'!O22</f>
        <v>-90.230971077233335</v>
      </c>
      <c r="AO141" s="54">
        <f>'Operational Model'!P22</f>
        <v>-96.139371788063727</v>
      </c>
      <c r="AP141" s="54">
        <f>'Operational Model'!Q22</f>
        <v>-101.96463456176343</v>
      </c>
      <c r="AQ141" s="54">
        <f>'Operational Model'!R22</f>
        <v>-107.67640042376752</v>
      </c>
      <c r="AR141" s="54">
        <f>'Operational Model'!S22</f>
        <v>-101.97330527125871</v>
      </c>
      <c r="AS141" s="54">
        <f>'Operational Model'!T22</f>
        <v>-91.088809482376178</v>
      </c>
      <c r="AT141" s="54">
        <f>'Operational Model'!U22</f>
        <v>-80.078245301968536</v>
      </c>
      <c r="AU141" s="54">
        <f>'Operational Model'!V22</f>
        <v>-68.766158424176183</v>
      </c>
      <c r="AV141" s="54">
        <f>'Operational Model'!W22</f>
        <v>-57.124443936612806</v>
      </c>
      <c r="AW141" s="54">
        <f>'Operational Model'!X22</f>
        <v>-45.124899057754419</v>
      </c>
      <c r="AX141" s="54">
        <f>'Operational Model'!Y22</f>
        <v>-32.739192634931442</v>
      </c>
      <c r="AY141" s="54">
        <f>'Operational Model'!Z22</f>
        <v>-19.938834703946213</v>
      </c>
      <c r="AZ141" s="54">
        <f>'Operational Model'!AA22</f>
        <v>-6.6951460782263439</v>
      </c>
      <c r="BA141" s="54">
        <f>'Operational Model'!AB22</f>
        <v>7.0207720643636549</v>
      </c>
      <c r="BB141" s="54">
        <f>'Operational Model'!AC22</f>
        <v>18.375166118848256</v>
      </c>
      <c r="BC141" s="54">
        <f>'Operational Model'!AD22</f>
        <v>30.140803870616764</v>
      </c>
    </row>
    <row r="142" spans="2:55" x14ac:dyDescent="0.3">
      <c r="AB142" s="51" t="s">
        <v>287</v>
      </c>
      <c r="AF142" s="55">
        <f>'Operational Model'!G24</f>
        <v>-4.7916542016544862E-2</v>
      </c>
      <c r="AG142" s="55">
        <f>'Operational Model'!H24</f>
        <v>-5.2680011333502356E-2</v>
      </c>
      <c r="AH142" s="55">
        <f>'Operational Model'!I24</f>
        <v>-5.7440187756242288E-2</v>
      </c>
      <c r="AI142" s="55">
        <f>'Operational Model'!J24</f>
        <v>-6.2162212618152766E-2</v>
      </c>
      <c r="AJ142" s="55">
        <f>'Operational Model'!K24</f>
        <v>-6.681385318172893E-2</v>
      </c>
      <c r="AK142" s="55">
        <f>'Operational Model'!L24</f>
        <v>-7.1365179590277841E-2</v>
      </c>
      <c r="AL142" s="55">
        <f>'Operational Model'!M24</f>
        <v>-7.578831136200552E-2</v>
      </c>
      <c r="AM142" s="55">
        <f>'Operational Model'!N24</f>
        <v>-8.0057219368717444E-2</v>
      </c>
      <c r="AN142" s="55">
        <f>'Operational Model'!O24</f>
        <v>-8.4147572246762017E-2</v>
      </c>
      <c r="AO142" s="55">
        <f>'Operational Model'!P24</f>
        <v>-8.8036618455233848E-2</v>
      </c>
      <c r="AP142" s="55">
        <f>'Operational Model'!Q24</f>
        <v>-9.1703096922577582E-2</v>
      </c>
      <c r="AQ142" s="55">
        <f>'Operational Model'!R24</f>
        <v>-9.512717054895449E-2</v>
      </c>
      <c r="AR142" s="55">
        <f>'Operational Model'!S24</f>
        <v>-8.8090402787077027E-2</v>
      </c>
      <c r="AS142" s="55">
        <f>'Operational Model'!T24</f>
        <v>-7.6967172324570676E-2</v>
      </c>
      <c r="AT142" s="55">
        <f>'Operational Model'!U24</f>
        <v>-6.6202731725847661E-2</v>
      </c>
      <c r="AU142" s="55">
        <f>'Operational Model'!V24</f>
        <v>-5.563691201908396E-2</v>
      </c>
      <c r="AV142" s="55">
        <f>'Operational Model'!W24</f>
        <v>-4.5240574139661857E-2</v>
      </c>
      <c r="AW142" s="55">
        <f>'Operational Model'!X24</f>
        <v>-3.4987860277270869E-2</v>
      </c>
      <c r="AX142" s="55">
        <f>'Operational Model'!Y24</f>
        <v>-2.4855847394172802E-2</v>
      </c>
      <c r="AY142" s="55">
        <f>'Operational Model'!Z24</f>
        <v>-1.4824246709088192E-2</v>
      </c>
      <c r="AZ142" s="55">
        <f>'Operational Model'!AA24</f>
        <v>-4.8751416195661314E-3</v>
      </c>
      <c r="BA142" s="55">
        <f>'Operational Model'!AB24</f>
        <v>5.0072421102667223E-3</v>
      </c>
      <c r="BB142" s="55">
        <f>'Operational Model'!AC24</f>
        <v>1.2836738977462452E-2</v>
      </c>
      <c r="BC142" s="55">
        <f>'Operational Model'!AD24</f>
        <v>2.0625423378781496E-2</v>
      </c>
    </row>
    <row r="143" spans="2:55" x14ac:dyDescent="0.3">
      <c r="AB143" s="51" t="s">
        <v>10</v>
      </c>
      <c r="AF143" s="54">
        <f>'Operational Model'!G163</f>
        <v>10958.6736</v>
      </c>
      <c r="AG143" s="54">
        <f>'Operational Model'!H163</f>
        <v>11203.755012616321</v>
      </c>
      <c r="AH143" s="54">
        <f>'Operational Model'!I163</f>
        <v>11445.843129067427</v>
      </c>
      <c r="AI143" s="54">
        <f>'Operational Model'!J163</f>
        <v>11685.523912657565</v>
      </c>
      <c r="AJ143" s="54">
        <f>'Operational Model'!K163</f>
        <v>11923.371296821064</v>
      </c>
      <c r="AK143" s="54">
        <f>'Operational Model'!L163</f>
        <v>12159.948060370698</v>
      </c>
      <c r="AL143" s="54">
        <f>'Operational Model'!M163</f>
        <v>12395.806681212705</v>
      </c>
      <c r="AM143" s="54">
        <f>'Operational Model'!N163</f>
        <v>12631.490169755094</v>
      </c>
      <c r="AN143" s="54">
        <f>'Operational Model'!O163</f>
        <v>12867.532883201688</v>
      </c>
      <c r="AO143" s="54">
        <f>'Operational Model'!P163</f>
        <v>13104.461321891878</v>
      </c>
      <c r="AP143" s="54">
        <f>'Operational Model'!Q163</f>
        <v>13342.794908815267</v>
      </c>
      <c r="AQ143" s="54">
        <f>'Operational Model'!R163</f>
        <v>13583.046753401115</v>
      </c>
      <c r="AR143" s="54">
        <f>'Operational Model'!S163</f>
        <v>13891.180248237215</v>
      </c>
      <c r="AS143" s="54">
        <f>'Operational Model'!T163</f>
        <v>14201.713286010492</v>
      </c>
      <c r="AT143" s="54">
        <f>'Operational Model'!U163</f>
        <v>14515.095050805003</v>
      </c>
      <c r="AU143" s="54">
        <f>'Operational Model'!V163</f>
        <v>14831.770332743587</v>
      </c>
      <c r="AV143" s="54">
        <f>'Operational Model'!W163</f>
        <v>15152.180101056463</v>
      </c>
      <c r="AW143" s="54">
        <f>'Operational Model'!X163</f>
        <v>15476.762065522098</v>
      </c>
      <c r="AX143" s="54">
        <f>'Operational Model'!Y163</f>
        <v>15805.951227045345</v>
      </c>
      <c r="AY143" s="54">
        <f>'Operational Model'!Z163</f>
        <v>16140.180418116599</v>
      </c>
      <c r="AZ143" s="54">
        <f>'Operational Model'!AA163</f>
        <v>16479.880833875395</v>
      </c>
      <c r="BA143" s="54">
        <f>'Operational Model'!AB163</f>
        <v>16825.482554482704</v>
      </c>
      <c r="BB143" s="54">
        <f>'Operational Model'!AC163</f>
        <v>17177.415059487928</v>
      </c>
      <c r="BC143" s="54">
        <f>'Operational Model'!AD163</f>
        <v>17536.107734859459</v>
      </c>
    </row>
    <row r="144" spans="2:55" x14ac:dyDescent="0.3">
      <c r="AB144" s="51" t="s">
        <v>88</v>
      </c>
      <c r="AF144" s="54">
        <f>AVERAGE('Operational Model'!G205,'Operational Model'!G207)</f>
        <v>96.4</v>
      </c>
      <c r="AG144" s="54">
        <f>AVERAGE('Operational Model'!H205,'Operational Model'!H207)</f>
        <v>99.199999999999989</v>
      </c>
      <c r="AH144" s="54">
        <f>AVERAGE('Operational Model'!I205,'Operational Model'!I207)</f>
        <v>102</v>
      </c>
      <c r="AI144" s="54">
        <f>AVERAGE('Operational Model'!J205,'Operational Model'!J207)</f>
        <v>104.79999999999998</v>
      </c>
      <c r="AJ144" s="54">
        <f>AVERAGE('Operational Model'!K205,'Operational Model'!K207)</f>
        <v>107.6</v>
      </c>
      <c r="AK144" s="54">
        <f>AVERAGE('Operational Model'!L205,'Operational Model'!L207)</f>
        <v>110.39999999999998</v>
      </c>
      <c r="AL144" s="54">
        <f>AVERAGE('Operational Model'!M205,'Operational Model'!M207)</f>
        <v>113.19999999999999</v>
      </c>
      <c r="AM144" s="54">
        <f>AVERAGE('Operational Model'!N205,'Operational Model'!N207)</f>
        <v>115.99999999999997</v>
      </c>
      <c r="AN144" s="54">
        <f>AVERAGE('Operational Model'!O205,'Operational Model'!O207)</f>
        <v>118.79999999999998</v>
      </c>
      <c r="AO144" s="54">
        <f>AVERAGE('Operational Model'!P205,'Operational Model'!P207)</f>
        <v>121.59999999999997</v>
      </c>
      <c r="AP144" s="54">
        <f>AVERAGE('Operational Model'!Q205,'Operational Model'!Q207)</f>
        <v>124.39999999999998</v>
      </c>
      <c r="AQ144" s="54">
        <f>AVERAGE('Operational Model'!R205,'Operational Model'!R207)</f>
        <v>127.19999999999996</v>
      </c>
      <c r="AR144" s="54">
        <f>AVERAGE('Operational Model'!S205,'Operational Model'!S207)</f>
        <v>129.27499999999998</v>
      </c>
      <c r="AS144" s="54">
        <f>AVERAGE('Operational Model'!T205,'Operational Model'!T207)</f>
        <v>130.64999999999998</v>
      </c>
      <c r="AT144" s="54">
        <f>AVERAGE('Operational Model'!U205,'Operational Model'!U207)</f>
        <v>132.04999999999995</v>
      </c>
      <c r="AU144" s="54">
        <f>AVERAGE('Operational Model'!V205,'Operational Model'!V207)</f>
        <v>133.44999999999999</v>
      </c>
      <c r="AV144" s="54">
        <f>AVERAGE('Operational Model'!W205,'Operational Model'!W207)</f>
        <v>134.84999999999997</v>
      </c>
      <c r="AW144" s="54">
        <f>AVERAGE('Operational Model'!X205,'Operational Model'!X207)</f>
        <v>136.25</v>
      </c>
      <c r="AX144" s="54">
        <f>AVERAGE('Operational Model'!Y205,'Operational Model'!Y207)</f>
        <v>137.64999999999998</v>
      </c>
      <c r="AY144" s="54">
        <f>AVERAGE('Operational Model'!Z205,'Operational Model'!Z207)</f>
        <v>139.05000000000001</v>
      </c>
      <c r="AZ144" s="54">
        <f>AVERAGE('Operational Model'!AA205,'Operational Model'!AA207)</f>
        <v>140.44999999999999</v>
      </c>
      <c r="BA144" s="54">
        <f>AVERAGE('Operational Model'!AB205,'Operational Model'!AB207)</f>
        <v>141.85000000000002</v>
      </c>
      <c r="BB144" s="54">
        <f>AVERAGE('Operational Model'!AC205,'Operational Model'!AC207)</f>
        <v>143.25</v>
      </c>
      <c r="BC144" s="54">
        <f>AVERAGE('Operational Model'!AD205,'Operational Model'!AD207)</f>
        <v>144.65000000000003</v>
      </c>
    </row>
    <row r="145" spans="28:55" x14ac:dyDescent="0.3">
      <c r="AB145" s="51" t="s">
        <v>82</v>
      </c>
      <c r="AF145" s="54">
        <f>'Operational Model'!G255</f>
        <v>97.8</v>
      </c>
      <c r="AG145" s="54">
        <f>'Operational Model'!H255</f>
        <v>100.6</v>
      </c>
      <c r="AH145" s="54">
        <f>'Operational Model'!I255</f>
        <v>103.39999999999999</v>
      </c>
      <c r="AI145" s="54">
        <f>'Operational Model'!J255</f>
        <v>106.19999999999999</v>
      </c>
      <c r="AJ145" s="54">
        <f>'Operational Model'!K255</f>
        <v>108.99999999999999</v>
      </c>
      <c r="AK145" s="54">
        <f>'Operational Model'!L255</f>
        <v>111.79999999999998</v>
      </c>
      <c r="AL145" s="54">
        <f>'Operational Model'!M255</f>
        <v>114.59999999999998</v>
      </c>
      <c r="AM145" s="54">
        <f>'Operational Model'!N255</f>
        <v>117.39999999999998</v>
      </c>
      <c r="AN145" s="54">
        <f>'Operational Model'!O255</f>
        <v>120.19999999999997</v>
      </c>
      <c r="AO145" s="54">
        <f>'Operational Model'!P255</f>
        <v>122.99999999999997</v>
      </c>
      <c r="AP145" s="54">
        <f>'Operational Model'!Q255</f>
        <v>125.79999999999997</v>
      </c>
      <c r="AQ145" s="54">
        <f>'Operational Model'!R255</f>
        <v>128.59999999999997</v>
      </c>
      <c r="AR145" s="54">
        <f>'Operational Model'!S255</f>
        <v>129.94999999999996</v>
      </c>
      <c r="AS145" s="54">
        <f>'Operational Model'!T255</f>
        <v>131.34999999999997</v>
      </c>
      <c r="AT145" s="54">
        <f>'Operational Model'!U255</f>
        <v>132.74999999999997</v>
      </c>
      <c r="AU145" s="54">
        <f>'Operational Model'!V255</f>
        <v>134.14999999999998</v>
      </c>
      <c r="AV145" s="54">
        <f>'Operational Model'!W255</f>
        <v>135.54999999999998</v>
      </c>
      <c r="AW145" s="54">
        <f>'Operational Model'!X255</f>
        <v>136.94999999999999</v>
      </c>
      <c r="AX145" s="54">
        <f>'Operational Model'!Y255</f>
        <v>138.35</v>
      </c>
      <c r="AY145" s="54">
        <f>'Operational Model'!Z255</f>
        <v>139.75</v>
      </c>
      <c r="AZ145" s="54">
        <f>'Operational Model'!AA255</f>
        <v>141.15</v>
      </c>
      <c r="BA145" s="54">
        <f>'Operational Model'!AB255</f>
        <v>142.55000000000001</v>
      </c>
      <c r="BB145" s="54">
        <f>'Operational Model'!AC255</f>
        <v>143.95000000000002</v>
      </c>
      <c r="BC145" s="54">
        <f>'Operational Model'!AD255</f>
        <v>145.35000000000002</v>
      </c>
    </row>
    <row r="146" spans="28:55" x14ac:dyDescent="0.3">
      <c r="AB146" s="51" t="s">
        <v>288</v>
      </c>
      <c r="AF146" s="54">
        <f>AF143/AF144</f>
        <v>113.6791867219917</v>
      </c>
      <c r="AG146" s="54">
        <f t="shared" ref="AG146:BC146" si="0">AG143/AG144</f>
        <v>112.94107875621292</v>
      </c>
      <c r="AH146" s="54">
        <f t="shared" si="0"/>
        <v>112.21414832419046</v>
      </c>
      <c r="AI146" s="54">
        <f t="shared" si="0"/>
        <v>111.50309076963327</v>
      </c>
      <c r="AJ146" s="54">
        <f t="shared" si="0"/>
        <v>110.81200089982401</v>
      </c>
      <c r="AK146" s="54">
        <f t="shared" si="0"/>
        <v>110.14445706857518</v>
      </c>
      <c r="AL146" s="54">
        <f t="shared" si="0"/>
        <v>109.50359259021826</v>
      </c>
      <c r="AM146" s="54">
        <f t="shared" si="0"/>
        <v>108.8921566358198</v>
      </c>
      <c r="AN146" s="54">
        <f t="shared" si="0"/>
        <v>108.31256635691658</v>
      </c>
      <c r="AO146" s="54">
        <f t="shared" si="0"/>
        <v>107.76695166029508</v>
      </c>
      <c r="AP146" s="54">
        <f t="shared" si="0"/>
        <v>107.25719380076583</v>
      </c>
      <c r="AQ146" s="54">
        <f t="shared" si="0"/>
        <v>106.78495875315345</v>
      </c>
      <c r="AR146" s="54">
        <f t="shared" si="0"/>
        <v>107.45449814919526</v>
      </c>
      <c r="AS146" s="54">
        <f t="shared" si="0"/>
        <v>108.70044612331033</v>
      </c>
      <c r="AT146" s="54">
        <f t="shared" si="0"/>
        <v>109.92120447410078</v>
      </c>
      <c r="AU146" s="54">
        <f t="shared" si="0"/>
        <v>111.14102909511868</v>
      </c>
      <c r="AV146" s="54">
        <f t="shared" si="0"/>
        <v>112.36321914020368</v>
      </c>
      <c r="AW146" s="54">
        <f t="shared" si="0"/>
        <v>113.59091424236402</v>
      </c>
      <c r="AX146" s="54">
        <f t="shared" si="0"/>
        <v>114.8271066258289</v>
      </c>
      <c r="AY146" s="54">
        <f t="shared" si="0"/>
        <v>116.07465241363968</v>
      </c>
      <c r="AZ146" s="54">
        <f t="shared" si="0"/>
        <v>117.33628219206406</v>
      </c>
      <c r="BA146" s="54">
        <f t="shared" si="0"/>
        <v>118.61461088814029</v>
      </c>
      <c r="BB146" s="54">
        <f t="shared" si="0"/>
        <v>119.91214701213214</v>
      </c>
      <c r="BC146" s="54">
        <f t="shared" si="0"/>
        <v>121.23130131254376</v>
      </c>
    </row>
    <row r="147" spans="28:55" x14ac:dyDescent="0.3">
      <c r="AB147" s="51"/>
      <c r="AF147" s="62"/>
      <c r="AG147" s="62"/>
      <c r="AH147" s="62"/>
      <c r="AI147" s="62"/>
      <c r="AJ147" s="62"/>
      <c r="AK147" s="62"/>
      <c r="AL147" s="62"/>
      <c r="AM147" s="62"/>
      <c r="AN147" s="62"/>
      <c r="AO147" s="62"/>
      <c r="AP147" s="62"/>
      <c r="AQ147" s="62"/>
      <c r="AR147" s="62"/>
      <c r="AS147" s="62"/>
      <c r="AT147" s="62"/>
      <c r="AU147" s="62"/>
      <c r="AV147" s="62"/>
      <c r="AW147" s="62"/>
      <c r="AX147" s="62"/>
      <c r="AY147" s="62"/>
      <c r="AZ147" s="62"/>
      <c r="BA147" s="62"/>
      <c r="BB147" s="62"/>
      <c r="BC147" s="62"/>
    </row>
    <row r="148" spans="28:55" x14ac:dyDescent="0.3">
      <c r="AB148" s="51"/>
      <c r="AF148" s="62"/>
      <c r="AG148" s="62"/>
      <c r="AH148" s="62"/>
      <c r="AI148" s="62"/>
      <c r="AJ148" s="62"/>
      <c r="AK148" s="62"/>
      <c r="AL148" s="62"/>
      <c r="AM148" s="62"/>
      <c r="AN148" s="62"/>
      <c r="AO148" s="62"/>
      <c r="AP148" s="62"/>
      <c r="AQ148" s="62"/>
      <c r="AR148" s="62"/>
      <c r="AS148" s="62"/>
      <c r="AT148" s="62"/>
      <c r="AU148" s="62"/>
      <c r="AV148" s="62"/>
      <c r="AW148" s="62"/>
      <c r="AX148" s="62"/>
      <c r="AY148" s="62"/>
      <c r="AZ148" s="62"/>
      <c r="BA148" s="62"/>
      <c r="BB148" s="62"/>
      <c r="BC148" s="62"/>
    </row>
    <row r="149" spans="28:55" x14ac:dyDescent="0.3">
      <c r="AB149" s="51"/>
      <c r="AF149" s="62"/>
      <c r="AG149" s="62"/>
      <c r="AH149" s="62"/>
      <c r="AI149" s="62"/>
      <c r="AJ149" s="62"/>
      <c r="AK149" s="62"/>
      <c r="AL149" s="62"/>
      <c r="AM149" s="62"/>
      <c r="AN149" s="62"/>
      <c r="AO149" s="62"/>
      <c r="AP149" s="62"/>
      <c r="AQ149" s="62"/>
      <c r="AR149" s="62"/>
      <c r="AS149" s="62"/>
      <c r="AT149" s="62"/>
      <c r="AU149" s="62"/>
      <c r="AV149" s="62"/>
      <c r="AW149" s="62"/>
      <c r="AX149" s="62"/>
      <c r="AY149" s="62"/>
      <c r="AZ149" s="62"/>
      <c r="BA149" s="62"/>
      <c r="BB149" s="62"/>
      <c r="BC149" s="62"/>
    </row>
    <row r="150" spans="28:55" x14ac:dyDescent="0.3">
      <c r="AF150" s="90">
        <v>1</v>
      </c>
      <c r="AG150" s="90">
        <v>2</v>
      </c>
      <c r="AH150" s="90">
        <v>3</v>
      </c>
      <c r="AI150" s="90">
        <v>4</v>
      </c>
      <c r="AJ150" s="90">
        <v>1</v>
      </c>
      <c r="AK150" s="90">
        <v>2</v>
      </c>
      <c r="AL150" s="90">
        <v>3</v>
      </c>
      <c r="AM150" s="90">
        <v>4</v>
      </c>
      <c r="AN150" s="62"/>
      <c r="AO150" s="62"/>
      <c r="AP150" s="62"/>
      <c r="AQ150" s="62"/>
      <c r="AR150" s="62"/>
      <c r="AS150" s="62"/>
      <c r="AT150" s="62"/>
      <c r="AU150" s="62"/>
      <c r="AV150" s="62"/>
      <c r="AW150" s="62"/>
      <c r="AX150" s="62"/>
      <c r="AY150" s="62"/>
      <c r="AZ150" s="62"/>
      <c r="BA150" s="62"/>
      <c r="BB150" s="62"/>
      <c r="BC150" s="62"/>
    </row>
    <row r="151" spans="28:55" x14ac:dyDescent="0.3">
      <c r="AB151" t="s">
        <v>338</v>
      </c>
      <c r="AD151" s="58"/>
      <c r="AE151" s="58" t="s">
        <v>343</v>
      </c>
      <c r="AF151" s="264">
        <f>'Operational Model'!G526</f>
        <v>6.1479096902069088</v>
      </c>
      <c r="AG151" s="264">
        <f>'Operational Model'!H526</f>
        <v>5.716353103495341</v>
      </c>
      <c r="AH151" s="264">
        <f>'Operational Model'!I526</f>
        <v>5.4072673983645796</v>
      </c>
      <c r="AI151" s="264">
        <f>'Operational Model'!J526</f>
        <v>5.1932968555743315</v>
      </c>
      <c r="AJ151" s="264">
        <f>'Operational Model'!K526</f>
        <v>5.9908885701267867</v>
      </c>
      <c r="AK151" s="264">
        <f>'Operational Model'!L526</f>
        <v>6.0432610605412904</v>
      </c>
      <c r="AL151" s="264">
        <f>'Operational Model'!M526</f>
        <v>6.1411451443273242</v>
      </c>
      <c r="AM151" s="264">
        <f>'Operational Model'!N526</f>
        <v>6.261525189795444</v>
      </c>
    </row>
    <row r="152" spans="28:55" x14ac:dyDescent="0.3">
      <c r="AB152" t="s">
        <v>339</v>
      </c>
      <c r="AD152" s="58"/>
      <c r="AE152" s="58" t="s">
        <v>266</v>
      </c>
      <c r="AF152" s="62">
        <f>'Operational Model'!G527</f>
        <v>8.1328455555626817</v>
      </c>
      <c r="AG152" s="62">
        <f>'Operational Model'!H527</f>
        <v>8.746835455183275</v>
      </c>
      <c r="AH152" s="62">
        <f>'Operational Model'!I527</f>
        <v>9.2468147617634777</v>
      </c>
      <c r="AI152" s="62">
        <f>'Operational Model'!J527</f>
        <v>9.6277954814640481</v>
      </c>
      <c r="AJ152" s="62">
        <f>'Operational Model'!K527</f>
        <v>9.2733414927094575</v>
      </c>
      <c r="AK152" s="62">
        <f>'Operational Model'!L527</f>
        <v>9.1929762753918656</v>
      </c>
      <c r="AL152" s="62">
        <f>'Operational Model'!M527</f>
        <v>9.0464488706757127</v>
      </c>
      <c r="AM152" s="62">
        <f>'Operational Model'!N527</f>
        <v>8.8725276784154374</v>
      </c>
    </row>
    <row r="156" spans="28:55" x14ac:dyDescent="0.3">
      <c r="AF156" s="91" t="s">
        <v>293</v>
      </c>
      <c r="AG156" s="91" t="s">
        <v>294</v>
      </c>
    </row>
    <row r="157" spans="28:55" x14ac:dyDescent="0.3">
      <c r="AF157"/>
    </row>
    <row r="158" spans="28:55" x14ac:dyDescent="0.3">
      <c r="AB158" s="51" t="s">
        <v>21</v>
      </c>
      <c r="AF158" s="55">
        <f>'Operational Model'!R163/'Operational Model'!G158-1</f>
        <v>0.26825833365089768</v>
      </c>
      <c r="AG158" s="55">
        <f>'Operational Model'!AD163/'Operational Model'!S158-1</f>
        <v>0.29102903444461159</v>
      </c>
    </row>
    <row r="159" spans="28:55" x14ac:dyDescent="0.3">
      <c r="AB159" s="51" t="s">
        <v>287</v>
      </c>
      <c r="AF159" s="55">
        <f>SUM(AF141:AQ141)/SUM(AF11:AQ11)</f>
        <v>-7.3769710098152003E-2</v>
      </c>
      <c r="AG159" s="55">
        <f>SUM(AR141:BC141)/SUM(AR11:BC11)</f>
        <v>-2.8590124926253641E-2</v>
      </c>
    </row>
    <row r="160" spans="28:55" x14ac:dyDescent="0.3">
      <c r="AB160" s="51" t="s">
        <v>23</v>
      </c>
      <c r="AF160" s="55">
        <f>AF158+AF159</f>
        <v>0.19448862355274568</v>
      </c>
      <c r="AG160" s="55">
        <f>AG158+AG159</f>
        <v>0.26243890951835797</v>
      </c>
    </row>
    <row r="161" spans="3:33" x14ac:dyDescent="0.3">
      <c r="C161" s="604" t="s">
        <v>292</v>
      </c>
      <c r="D161" s="604"/>
      <c r="E161" s="604"/>
      <c r="F161" s="604"/>
      <c r="G161" s="604"/>
      <c r="H161" s="604"/>
      <c r="I161" s="604"/>
      <c r="J161" s="604"/>
      <c r="K161" s="604"/>
      <c r="L161" s="604"/>
      <c r="M161" s="77"/>
      <c r="N161" s="77"/>
      <c r="O161" s="78"/>
      <c r="P161" s="604" t="s">
        <v>362</v>
      </c>
      <c r="Q161" s="604"/>
      <c r="R161" s="604"/>
      <c r="S161" s="604"/>
      <c r="T161" s="604"/>
      <c r="U161" s="604"/>
      <c r="V161" s="604"/>
      <c r="W161" s="604"/>
      <c r="X161" s="604"/>
      <c r="Y161" s="604"/>
      <c r="AB161" s="51" t="s">
        <v>295</v>
      </c>
      <c r="AF161" s="75">
        <v>0.4</v>
      </c>
      <c r="AG161" s="75">
        <v>0.4</v>
      </c>
    </row>
    <row r="162" spans="3:33" x14ac:dyDescent="0.3">
      <c r="C162" s="79"/>
      <c r="D162" s="79"/>
      <c r="E162" s="79"/>
      <c r="F162" s="79"/>
      <c r="G162" s="79"/>
      <c r="H162" s="79"/>
      <c r="I162" s="79"/>
      <c r="J162" s="79"/>
      <c r="K162" s="79"/>
      <c r="L162" s="79"/>
      <c r="M162" s="77"/>
      <c r="N162" s="77"/>
      <c r="O162" s="78"/>
      <c r="P162" s="79"/>
      <c r="Q162" s="79"/>
      <c r="R162" s="79"/>
      <c r="S162" s="79"/>
      <c r="T162" s="79"/>
      <c r="U162" s="79"/>
      <c r="V162" s="79"/>
      <c r="W162" s="79"/>
      <c r="X162" s="79"/>
      <c r="Y162" s="79"/>
      <c r="AB162" s="51" t="s">
        <v>336</v>
      </c>
      <c r="AE162" s="58"/>
      <c r="AF162" s="62">
        <f>'Operational Model'!G532</f>
        <v>8.0595936868082472</v>
      </c>
      <c r="AG162" s="62">
        <f>'Operational Model'!H532</f>
        <v>8.4471245943239133</v>
      </c>
    </row>
    <row r="163" spans="3:33" x14ac:dyDescent="0.3">
      <c r="C163" s="79"/>
      <c r="D163" s="79"/>
      <c r="E163" s="79"/>
      <c r="F163" s="79"/>
      <c r="G163" s="79"/>
      <c r="H163" s="79"/>
      <c r="I163" s="79"/>
      <c r="J163" s="79"/>
      <c r="K163" s="79"/>
      <c r="L163" s="79"/>
      <c r="M163" s="77"/>
      <c r="N163" s="77"/>
      <c r="O163" s="78"/>
      <c r="P163" s="79"/>
      <c r="Q163" s="79"/>
      <c r="R163" s="79"/>
      <c r="S163" s="79"/>
      <c r="T163" s="79"/>
      <c r="U163" s="79"/>
      <c r="V163" s="79"/>
      <c r="W163" s="79"/>
      <c r="X163" s="79"/>
      <c r="Y163" s="79"/>
      <c r="AB163" s="51" t="s">
        <v>337</v>
      </c>
      <c r="AE163" s="58"/>
      <c r="AF163" s="62">
        <f>'Operational Model'!G533</f>
        <v>45.009387040715602</v>
      </c>
      <c r="AG163" s="62">
        <f>'Operational Model'!H533</f>
        <v>51.620668854666846</v>
      </c>
    </row>
    <row r="164" spans="3:33" x14ac:dyDescent="0.3">
      <c r="C164" s="79"/>
      <c r="D164" s="79"/>
      <c r="E164" s="79"/>
      <c r="F164" s="79"/>
      <c r="G164" s="79"/>
      <c r="H164" s="79"/>
      <c r="I164" s="79"/>
      <c r="J164" s="79"/>
      <c r="K164" s="79"/>
      <c r="L164" s="79"/>
      <c r="M164" s="77"/>
      <c r="N164" s="77"/>
      <c r="O164" s="78"/>
      <c r="P164" s="79"/>
      <c r="Q164" s="79"/>
      <c r="R164" s="79"/>
      <c r="S164" s="79"/>
      <c r="T164" s="79"/>
      <c r="U164" s="79"/>
      <c r="V164" s="79"/>
      <c r="W164" s="79"/>
      <c r="X164" s="79"/>
      <c r="Y164" s="79"/>
    </row>
    <row r="165" spans="3:33" x14ac:dyDescent="0.3">
      <c r="C165" s="79"/>
      <c r="D165" s="79"/>
      <c r="E165" s="79"/>
      <c r="F165" s="79"/>
      <c r="G165" s="79"/>
      <c r="H165" s="79"/>
      <c r="I165" s="79"/>
      <c r="J165" s="79"/>
      <c r="K165" s="79"/>
      <c r="L165" s="79"/>
      <c r="M165" s="77"/>
      <c r="N165" s="77"/>
      <c r="O165" s="78"/>
      <c r="P165" s="79"/>
      <c r="Q165" s="79"/>
      <c r="R165" s="79"/>
      <c r="S165" s="79"/>
      <c r="T165" s="79"/>
      <c r="U165" s="79"/>
      <c r="V165" s="79"/>
      <c r="W165" s="79"/>
      <c r="X165" s="79"/>
      <c r="Y165" s="79"/>
    </row>
    <row r="166" spans="3:33" x14ac:dyDescent="0.3">
      <c r="C166" s="79"/>
      <c r="D166" s="79"/>
      <c r="E166" s="79"/>
      <c r="F166" s="79"/>
      <c r="G166" s="79"/>
      <c r="H166" s="79"/>
      <c r="I166" s="79"/>
      <c r="J166" s="79"/>
      <c r="K166" s="79"/>
      <c r="L166" s="79"/>
      <c r="M166" s="77"/>
      <c r="N166" s="77"/>
      <c r="O166" s="78"/>
      <c r="P166" s="79"/>
      <c r="Q166" s="79"/>
      <c r="R166" s="79"/>
      <c r="S166" s="79"/>
      <c r="T166" s="79"/>
      <c r="U166" s="79"/>
      <c r="V166" s="79"/>
      <c r="W166" s="79"/>
      <c r="X166" s="79"/>
      <c r="Y166" s="79"/>
    </row>
    <row r="167" spans="3:33" x14ac:dyDescent="0.3">
      <c r="C167" s="79"/>
      <c r="D167" s="79"/>
      <c r="E167" s="79"/>
      <c r="F167" s="79"/>
      <c r="G167" s="79"/>
      <c r="H167" s="79"/>
      <c r="I167" s="79"/>
      <c r="J167" s="79"/>
      <c r="K167" s="79"/>
      <c r="L167" s="79"/>
      <c r="M167" s="77"/>
      <c r="N167" s="77"/>
      <c r="O167" s="78"/>
      <c r="P167" s="79"/>
      <c r="Q167" s="79"/>
      <c r="R167" s="79"/>
      <c r="S167" s="79"/>
      <c r="T167" s="79"/>
      <c r="U167" s="79"/>
      <c r="V167" s="79"/>
      <c r="W167" s="79"/>
      <c r="X167" s="79"/>
      <c r="Y167" s="79"/>
    </row>
    <row r="168" spans="3:33" x14ac:dyDescent="0.3">
      <c r="C168" s="79"/>
      <c r="D168" s="79"/>
      <c r="E168" s="79"/>
      <c r="F168" s="79"/>
      <c r="G168" s="79"/>
      <c r="H168" s="79"/>
      <c r="I168" s="79"/>
      <c r="J168" s="79"/>
      <c r="K168" s="79"/>
      <c r="L168" s="79"/>
      <c r="M168" s="77"/>
      <c r="N168" s="77"/>
      <c r="O168" s="78"/>
      <c r="P168" s="79"/>
      <c r="Q168" s="79"/>
      <c r="R168" s="79"/>
      <c r="S168" s="79"/>
      <c r="T168" s="79"/>
      <c r="U168" s="79"/>
      <c r="V168" s="79"/>
      <c r="W168" s="79"/>
      <c r="X168" s="79"/>
      <c r="Y168" s="79"/>
    </row>
    <row r="169" spans="3:33" x14ac:dyDescent="0.3">
      <c r="C169" s="79"/>
      <c r="D169" s="79"/>
      <c r="E169" s="79"/>
      <c r="F169" s="79"/>
      <c r="G169" s="79"/>
      <c r="H169" s="79"/>
      <c r="I169" s="79"/>
      <c r="J169" s="79"/>
      <c r="K169" s="79"/>
      <c r="L169" s="79"/>
      <c r="M169" s="77"/>
      <c r="N169" s="77"/>
      <c r="O169" s="78"/>
      <c r="P169" s="79"/>
      <c r="Q169" s="79"/>
      <c r="R169" s="79"/>
      <c r="S169" s="79"/>
      <c r="T169" s="79"/>
      <c r="U169" s="79"/>
      <c r="V169" s="79"/>
      <c r="W169" s="79"/>
      <c r="X169" s="79"/>
      <c r="Y169" s="79"/>
    </row>
    <row r="170" spans="3:33" x14ac:dyDescent="0.3">
      <c r="C170" s="79"/>
      <c r="D170" s="79"/>
      <c r="E170" s="79"/>
      <c r="F170" s="79"/>
      <c r="G170" s="79"/>
      <c r="H170" s="79"/>
      <c r="I170" s="79"/>
      <c r="J170" s="79"/>
      <c r="K170" s="79"/>
      <c r="L170" s="79"/>
      <c r="M170" s="77"/>
      <c r="N170" s="77"/>
      <c r="O170" s="78"/>
      <c r="P170" s="79"/>
      <c r="Q170" s="79"/>
      <c r="R170" s="79"/>
      <c r="S170" s="79"/>
      <c r="T170" s="79"/>
      <c r="U170" s="79"/>
      <c r="V170" s="79"/>
      <c r="W170" s="79"/>
      <c r="X170" s="79"/>
      <c r="Y170" s="79"/>
    </row>
    <row r="171" spans="3:33" x14ac:dyDescent="0.3">
      <c r="C171" s="79"/>
      <c r="D171" s="79"/>
      <c r="E171" s="79"/>
      <c r="F171" s="79"/>
      <c r="G171" s="79"/>
      <c r="H171" s="79"/>
      <c r="I171" s="79"/>
      <c r="J171" s="79"/>
      <c r="K171" s="79"/>
      <c r="L171" s="79"/>
      <c r="M171" s="77"/>
      <c r="N171" s="77"/>
      <c r="O171" s="78"/>
      <c r="P171" s="79"/>
      <c r="Q171" s="79"/>
      <c r="R171" s="79"/>
      <c r="S171" s="79"/>
      <c r="T171" s="79"/>
      <c r="U171" s="79"/>
      <c r="V171" s="79"/>
      <c r="W171" s="79"/>
      <c r="X171" s="79"/>
      <c r="Y171" s="79"/>
    </row>
    <row r="172" spans="3:33" x14ac:dyDescent="0.3">
      <c r="C172" s="79"/>
      <c r="D172" s="79"/>
      <c r="E172" s="79"/>
      <c r="F172" s="79"/>
      <c r="G172" s="79"/>
      <c r="H172" s="79"/>
      <c r="I172" s="79"/>
      <c r="J172" s="79"/>
      <c r="K172" s="79"/>
      <c r="L172" s="79"/>
      <c r="M172" s="77"/>
      <c r="N172" s="77"/>
      <c r="O172" s="78"/>
      <c r="P172" s="79"/>
      <c r="Q172" s="79"/>
      <c r="R172" s="79"/>
      <c r="S172" s="79"/>
      <c r="T172" s="79"/>
      <c r="U172" s="79"/>
      <c r="V172" s="79"/>
      <c r="W172" s="79"/>
      <c r="X172" s="79"/>
      <c r="Y172" s="79"/>
    </row>
    <row r="173" spans="3:33" x14ac:dyDescent="0.3">
      <c r="C173" s="79"/>
      <c r="D173" s="79"/>
      <c r="E173" s="79"/>
      <c r="F173" s="79"/>
      <c r="G173" s="79"/>
      <c r="H173" s="79"/>
      <c r="I173" s="79"/>
      <c r="J173" s="79"/>
      <c r="K173" s="79"/>
      <c r="L173" s="79"/>
      <c r="M173" s="77"/>
      <c r="N173" s="77"/>
      <c r="O173" s="78"/>
      <c r="P173" s="79"/>
      <c r="Q173" s="79"/>
      <c r="R173" s="79"/>
      <c r="S173" s="79"/>
      <c r="T173" s="79"/>
      <c r="U173" s="79"/>
      <c r="V173" s="79"/>
      <c r="W173" s="79"/>
      <c r="X173" s="79"/>
      <c r="Y173" s="79"/>
    </row>
    <row r="174" spans="3:33" x14ac:dyDescent="0.3">
      <c r="C174" s="79"/>
      <c r="D174" s="79"/>
      <c r="E174" s="79"/>
      <c r="F174" s="79"/>
      <c r="G174" s="79"/>
      <c r="H174" s="79"/>
      <c r="I174" s="79"/>
      <c r="J174" s="79"/>
      <c r="K174" s="79"/>
      <c r="L174" s="79"/>
      <c r="M174" s="77"/>
      <c r="N174" s="77"/>
      <c r="O174" s="78"/>
      <c r="P174" s="79"/>
      <c r="Q174" s="79"/>
      <c r="R174" s="79"/>
      <c r="S174" s="79"/>
      <c r="T174" s="79"/>
      <c r="U174" s="79"/>
      <c r="V174" s="79"/>
      <c r="W174" s="79"/>
      <c r="X174" s="79"/>
      <c r="Y174" s="79"/>
    </row>
    <row r="175" spans="3:33" x14ac:dyDescent="0.3">
      <c r="C175" s="79"/>
      <c r="D175" s="79"/>
      <c r="E175" s="79"/>
      <c r="F175" s="79"/>
      <c r="G175" s="79"/>
      <c r="H175" s="79"/>
      <c r="I175" s="79"/>
      <c r="J175" s="79"/>
      <c r="K175" s="79"/>
      <c r="L175" s="79"/>
      <c r="M175" s="77"/>
      <c r="N175" s="77"/>
      <c r="O175" s="78"/>
      <c r="P175" s="79"/>
      <c r="Q175" s="79"/>
      <c r="R175" s="79"/>
      <c r="S175" s="79"/>
      <c r="T175" s="79"/>
      <c r="U175" s="79"/>
      <c r="V175" s="79"/>
      <c r="W175" s="79"/>
      <c r="X175" s="79"/>
      <c r="Y175" s="79"/>
    </row>
    <row r="176" spans="3:33" x14ac:dyDescent="0.3">
      <c r="C176" s="79"/>
      <c r="D176" s="79"/>
      <c r="E176" s="79"/>
      <c r="F176" s="79"/>
      <c r="G176" s="79"/>
      <c r="H176" s="79"/>
      <c r="I176" s="79"/>
      <c r="J176" s="79"/>
      <c r="K176" s="79"/>
      <c r="L176" s="79"/>
      <c r="M176" s="77"/>
      <c r="N176" s="77"/>
      <c r="O176" s="78"/>
      <c r="P176" s="79"/>
      <c r="Q176" s="79"/>
      <c r="R176" s="79"/>
      <c r="S176" s="79"/>
      <c r="T176" s="79"/>
      <c r="U176" s="79"/>
      <c r="V176" s="79"/>
      <c r="W176" s="79"/>
      <c r="X176" s="79"/>
      <c r="Y176" s="79"/>
    </row>
    <row r="177" spans="3:25" x14ac:dyDescent="0.3">
      <c r="C177" s="79"/>
      <c r="D177" s="79"/>
      <c r="E177" s="79"/>
      <c r="F177" s="79"/>
      <c r="G177" s="79"/>
      <c r="H177" s="79"/>
      <c r="I177" s="79"/>
      <c r="J177" s="79"/>
      <c r="K177" s="79"/>
      <c r="L177" s="79"/>
      <c r="M177" s="77"/>
      <c r="N177" s="77"/>
      <c r="O177" s="78"/>
      <c r="P177" s="79"/>
      <c r="Q177" s="79"/>
      <c r="R177" s="79"/>
      <c r="S177" s="79"/>
      <c r="T177" s="79"/>
      <c r="U177" s="79"/>
      <c r="V177" s="79"/>
      <c r="W177" s="79"/>
      <c r="X177" s="79"/>
      <c r="Y177" s="79"/>
    </row>
    <row r="178" spans="3:25" x14ac:dyDescent="0.3">
      <c r="C178" s="79"/>
      <c r="D178" s="79"/>
      <c r="E178" s="79"/>
      <c r="F178" s="79"/>
      <c r="G178" s="79"/>
      <c r="H178" s="79"/>
      <c r="I178" s="79"/>
      <c r="J178" s="79"/>
      <c r="K178" s="79"/>
      <c r="L178" s="79"/>
      <c r="M178" s="77"/>
      <c r="N178" s="77"/>
      <c r="O178" s="78"/>
      <c r="P178" s="79"/>
      <c r="Q178" s="79"/>
      <c r="R178" s="79"/>
      <c r="S178" s="79"/>
      <c r="T178" s="79"/>
      <c r="U178" s="79"/>
      <c r="V178" s="79"/>
      <c r="W178" s="79"/>
      <c r="X178" s="79"/>
      <c r="Y178" s="79"/>
    </row>
    <row r="179" spans="3:25" x14ac:dyDescent="0.3">
      <c r="C179" s="79"/>
      <c r="D179" s="79"/>
      <c r="E179" s="79"/>
      <c r="F179" s="79"/>
      <c r="G179" s="79"/>
      <c r="H179" s="79"/>
      <c r="I179" s="79"/>
      <c r="J179" s="79"/>
      <c r="K179" s="79"/>
      <c r="L179" s="79"/>
      <c r="M179" s="77"/>
      <c r="N179" s="77"/>
      <c r="O179" s="78"/>
      <c r="P179" s="79"/>
      <c r="Q179" s="79"/>
      <c r="R179" s="79"/>
      <c r="S179" s="79"/>
      <c r="T179" s="79"/>
      <c r="U179" s="79"/>
      <c r="V179" s="79"/>
      <c r="W179" s="79"/>
      <c r="X179" s="79"/>
      <c r="Y179" s="79"/>
    </row>
    <row r="180" spans="3:25" x14ac:dyDescent="0.3">
      <c r="C180" s="79"/>
      <c r="D180" s="79"/>
      <c r="E180" s="79"/>
      <c r="F180" s="79"/>
      <c r="G180" s="79"/>
      <c r="H180" s="79"/>
      <c r="I180" s="79"/>
      <c r="J180" s="79"/>
      <c r="K180" s="79"/>
      <c r="L180" s="79"/>
      <c r="M180" s="77"/>
      <c r="N180" s="77"/>
      <c r="O180" s="78"/>
      <c r="P180" s="79"/>
      <c r="Q180" s="79"/>
      <c r="R180" s="79"/>
      <c r="S180" s="79"/>
      <c r="T180" s="79"/>
      <c r="U180" s="79"/>
      <c r="V180" s="79"/>
      <c r="W180" s="79"/>
      <c r="X180" s="79"/>
      <c r="Y180" s="79"/>
    </row>
    <row r="181" spans="3:25" x14ac:dyDescent="0.3">
      <c r="C181" s="79"/>
      <c r="D181" s="79"/>
      <c r="E181" s="79"/>
      <c r="F181" s="79"/>
      <c r="G181" s="79"/>
      <c r="H181" s="79"/>
      <c r="I181" s="79"/>
      <c r="J181" s="79"/>
      <c r="K181" s="79"/>
      <c r="L181" s="79"/>
      <c r="M181" s="77"/>
      <c r="N181" s="77"/>
      <c r="O181" s="78"/>
      <c r="P181" s="79"/>
      <c r="Q181" s="79"/>
      <c r="R181" s="79"/>
      <c r="S181" s="79"/>
      <c r="T181" s="79"/>
      <c r="U181" s="79"/>
      <c r="V181" s="79"/>
      <c r="W181" s="79"/>
      <c r="X181" s="79"/>
      <c r="Y181" s="79"/>
    </row>
    <row r="182" spans="3:25" x14ac:dyDescent="0.3">
      <c r="C182" s="79"/>
      <c r="D182" s="79"/>
      <c r="E182" s="79"/>
      <c r="F182" s="79"/>
      <c r="G182" s="79"/>
      <c r="H182" s="79"/>
      <c r="I182" s="79"/>
      <c r="J182" s="79"/>
      <c r="K182" s="79"/>
      <c r="L182" s="79"/>
      <c r="M182" s="77"/>
      <c r="N182" s="77"/>
      <c r="O182" s="78"/>
      <c r="P182" s="79"/>
      <c r="Q182" s="79"/>
      <c r="R182" s="79"/>
      <c r="S182" s="79"/>
      <c r="T182" s="79"/>
      <c r="U182" s="79"/>
      <c r="V182" s="79"/>
      <c r="W182" s="79"/>
      <c r="X182" s="79"/>
      <c r="Y182" s="79"/>
    </row>
    <row r="183" spans="3:25" x14ac:dyDescent="0.3">
      <c r="C183" s="79"/>
      <c r="D183" s="79"/>
      <c r="E183" s="79"/>
      <c r="F183" s="79"/>
      <c r="G183" s="79"/>
      <c r="H183" s="79"/>
      <c r="I183" s="79"/>
      <c r="J183" s="79"/>
      <c r="K183" s="79"/>
      <c r="L183" s="79"/>
      <c r="M183" s="77"/>
      <c r="N183" s="77"/>
      <c r="O183" s="78"/>
      <c r="P183" s="79"/>
      <c r="Q183" s="79"/>
      <c r="R183" s="79"/>
      <c r="S183" s="79"/>
      <c r="T183" s="79"/>
      <c r="U183" s="79"/>
      <c r="V183" s="79"/>
      <c r="W183" s="79"/>
      <c r="X183" s="79"/>
      <c r="Y183" s="79"/>
    </row>
    <row r="184" spans="3:25" x14ac:dyDescent="0.3">
      <c r="C184" s="79"/>
      <c r="D184" s="79"/>
      <c r="E184" s="79"/>
      <c r="F184" s="79"/>
      <c r="G184" s="79"/>
      <c r="H184" s="79"/>
      <c r="I184" s="79"/>
      <c r="J184" s="79"/>
      <c r="K184" s="79"/>
      <c r="L184" s="79"/>
      <c r="M184" s="77"/>
      <c r="N184" s="77"/>
      <c r="O184" s="78"/>
      <c r="P184" s="79"/>
      <c r="Q184" s="79"/>
      <c r="R184" s="79"/>
      <c r="S184" s="79"/>
      <c r="T184" s="79"/>
      <c r="U184" s="79"/>
      <c r="V184" s="79"/>
      <c r="W184" s="79"/>
      <c r="X184" s="79"/>
      <c r="Y184" s="79"/>
    </row>
    <row r="185" spans="3:25" x14ac:dyDescent="0.3">
      <c r="C185" s="79"/>
      <c r="D185" s="79"/>
      <c r="E185" s="79"/>
      <c r="F185" s="79"/>
      <c r="G185" s="79"/>
      <c r="H185" s="79"/>
      <c r="I185" s="79"/>
      <c r="J185" s="79"/>
      <c r="K185" s="79"/>
      <c r="L185" s="79"/>
      <c r="M185" s="77"/>
      <c r="N185" s="77"/>
      <c r="O185" s="78"/>
      <c r="P185" s="79"/>
      <c r="Q185" s="79"/>
      <c r="R185" s="79"/>
      <c r="S185" s="79"/>
      <c r="T185" s="79"/>
      <c r="U185" s="79"/>
      <c r="V185" s="79"/>
      <c r="W185" s="79"/>
      <c r="X185" s="79"/>
      <c r="Y185" s="79"/>
    </row>
    <row r="186" spans="3:25" x14ac:dyDescent="0.3">
      <c r="C186" s="79"/>
      <c r="D186" s="79"/>
      <c r="E186" s="79"/>
      <c r="F186" s="79"/>
      <c r="G186" s="79"/>
      <c r="H186" s="79"/>
      <c r="I186" s="79"/>
      <c r="J186" s="79"/>
      <c r="K186" s="79"/>
      <c r="L186" s="79"/>
      <c r="M186" s="77"/>
      <c r="N186" s="77"/>
      <c r="O186" s="78"/>
      <c r="P186" s="79"/>
      <c r="Q186" s="79"/>
      <c r="R186" s="79"/>
      <c r="S186" s="79"/>
      <c r="T186" s="79"/>
      <c r="U186" s="79"/>
      <c r="V186" s="79"/>
      <c r="W186" s="79"/>
      <c r="X186" s="79"/>
      <c r="Y186" s="79"/>
    </row>
    <row r="187" spans="3:25" x14ac:dyDescent="0.3">
      <c r="C187" s="79"/>
      <c r="D187" s="79"/>
      <c r="E187" s="79"/>
      <c r="F187" s="79"/>
      <c r="G187" s="79"/>
      <c r="H187" s="79"/>
      <c r="I187" s="79"/>
      <c r="J187" s="79"/>
      <c r="K187" s="79"/>
      <c r="L187" s="79"/>
      <c r="M187" s="77"/>
      <c r="N187" s="77"/>
      <c r="O187" s="78"/>
      <c r="P187" s="79"/>
      <c r="Q187" s="79"/>
      <c r="R187" s="79"/>
      <c r="S187" s="79"/>
      <c r="T187" s="79"/>
      <c r="U187" s="79"/>
      <c r="V187" s="79"/>
      <c r="W187" s="79"/>
      <c r="X187" s="79"/>
      <c r="Y187" s="79"/>
    </row>
    <row r="189" spans="3:25" x14ac:dyDescent="0.3">
      <c r="C189" s="604" t="s">
        <v>23</v>
      </c>
      <c r="D189" s="604"/>
      <c r="E189" s="604"/>
      <c r="F189" s="604"/>
      <c r="G189" s="604"/>
      <c r="H189" s="604"/>
      <c r="I189" s="604"/>
      <c r="J189" s="604"/>
      <c r="K189" s="604"/>
      <c r="L189" s="604"/>
      <c r="M189" s="77"/>
      <c r="P189" s="604" t="s">
        <v>344</v>
      </c>
      <c r="Q189" s="604"/>
      <c r="R189" s="604"/>
      <c r="S189" s="604"/>
      <c r="T189" s="604"/>
      <c r="U189" s="604"/>
      <c r="V189" s="604"/>
      <c r="W189" s="604"/>
      <c r="X189" s="604"/>
      <c r="Y189" s="604"/>
    </row>
    <row r="193" spans="17:18" x14ac:dyDescent="0.3">
      <c r="Q193" s="120"/>
      <c r="R193" s="269"/>
    </row>
    <row r="194" spans="17:18" x14ac:dyDescent="0.3">
      <c r="Q194" s="123" t="s">
        <v>336</v>
      </c>
      <c r="R194" s="270"/>
    </row>
    <row r="195" spans="17:18" x14ac:dyDescent="0.3">
      <c r="Q195" s="85"/>
      <c r="R195" s="114"/>
    </row>
    <row r="196" spans="17:18" x14ac:dyDescent="0.3">
      <c r="Q196" s="265" t="str">
        <f>AF156</f>
        <v>FY2026</v>
      </c>
      <c r="R196" s="266" t="str">
        <f>AG156</f>
        <v>FY2027</v>
      </c>
    </row>
    <row r="197" spans="17:18" x14ac:dyDescent="0.3">
      <c r="Q197" s="85"/>
      <c r="R197" s="88"/>
    </row>
    <row r="198" spans="17:18" x14ac:dyDescent="0.3">
      <c r="Q198" s="267">
        <f>AF162</f>
        <v>8.0595936868082472</v>
      </c>
      <c r="R198" s="268">
        <f>AG162</f>
        <v>8.4471245943239133</v>
      </c>
    </row>
    <row r="199" spans="17:18" x14ac:dyDescent="0.3">
      <c r="Q199" s="86"/>
      <c r="R199" s="89"/>
    </row>
    <row r="204" spans="17:18" x14ac:dyDescent="0.3">
      <c r="Q204" s="120"/>
      <c r="R204" s="269"/>
    </row>
    <row r="205" spans="17:18" x14ac:dyDescent="0.3">
      <c r="Q205" s="123" t="s">
        <v>337</v>
      </c>
      <c r="R205" s="270"/>
    </row>
    <row r="206" spans="17:18" x14ac:dyDescent="0.3">
      <c r="Q206" s="85"/>
      <c r="R206" s="114"/>
    </row>
    <row r="207" spans="17:18" x14ac:dyDescent="0.3">
      <c r="Q207" s="265" t="str">
        <f>AF156</f>
        <v>FY2026</v>
      </c>
      <c r="R207" s="266" t="str">
        <f>AG156</f>
        <v>FY2027</v>
      </c>
    </row>
    <row r="208" spans="17:18" x14ac:dyDescent="0.3">
      <c r="Q208" s="85"/>
      <c r="R208" s="88"/>
    </row>
    <row r="209" spans="1:55" x14ac:dyDescent="0.3">
      <c r="Q209" s="267">
        <f>AF163</f>
        <v>45.009387040715602</v>
      </c>
      <c r="R209" s="268">
        <f>AG163</f>
        <v>51.620668854666846</v>
      </c>
    </row>
    <row r="210" spans="1:55" x14ac:dyDescent="0.3">
      <c r="Q210" s="86"/>
      <c r="R210" s="89"/>
    </row>
    <row r="217" spans="1:55" ht="21" x14ac:dyDescent="0.3">
      <c r="A217" t="s">
        <v>33</v>
      </c>
      <c r="B217" s="5" t="s">
        <v>153</v>
      </c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B217" s="5" t="s">
        <v>151</v>
      </c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</row>
    <row r="219" spans="1:55" x14ac:dyDescent="0.3">
      <c r="B219" s="38" t="s">
        <v>24</v>
      </c>
      <c r="AB219" s="38" t="s">
        <v>24</v>
      </c>
      <c r="AF219" s="47">
        <v>2026</v>
      </c>
      <c r="AG219" s="48">
        <v>2026</v>
      </c>
      <c r="AH219" s="49">
        <v>2026</v>
      </c>
      <c r="AI219" s="48">
        <v>2026</v>
      </c>
      <c r="AJ219" s="48">
        <v>2026</v>
      </c>
      <c r="AK219" s="49">
        <v>2026</v>
      </c>
      <c r="AL219" s="48">
        <v>2026</v>
      </c>
      <c r="AM219" s="48">
        <v>2026</v>
      </c>
      <c r="AN219" s="49">
        <v>2026</v>
      </c>
      <c r="AO219" s="48">
        <v>2026</v>
      </c>
      <c r="AP219" s="48">
        <v>2026</v>
      </c>
      <c r="AQ219" s="50">
        <v>2026</v>
      </c>
      <c r="AR219" s="48">
        <v>2027</v>
      </c>
      <c r="AS219" s="48">
        <v>2027</v>
      </c>
      <c r="AT219" s="49">
        <v>2027</v>
      </c>
      <c r="AU219" s="48">
        <v>2027</v>
      </c>
      <c r="AV219" s="48">
        <v>2027</v>
      </c>
      <c r="AW219" s="49">
        <v>2027</v>
      </c>
      <c r="AX219" s="48">
        <v>2027</v>
      </c>
      <c r="AY219" s="48">
        <v>2027</v>
      </c>
      <c r="AZ219" s="49">
        <v>2027</v>
      </c>
      <c r="BA219" s="48">
        <v>2027</v>
      </c>
      <c r="BB219" s="48">
        <v>2027</v>
      </c>
      <c r="BC219" s="50">
        <v>2027</v>
      </c>
    </row>
    <row r="220" spans="1:55" x14ac:dyDescent="0.3">
      <c r="B220" s="38" t="str" cm="1">
        <f t="array" ref="B220">CONCATENATE("Model Running: ",INDEX(Inputs!$B$15:$B$17,Inputs!$D$8)," Drivers")</f>
        <v>Model Running: Base Case Drivers</v>
      </c>
      <c r="AF220" s="40">
        <v>1</v>
      </c>
      <c r="AG220" s="39">
        <v>1</v>
      </c>
      <c r="AH220" s="45">
        <v>1</v>
      </c>
      <c r="AI220" s="39">
        <v>2</v>
      </c>
      <c r="AJ220" s="39">
        <v>2</v>
      </c>
      <c r="AK220" s="45">
        <v>2</v>
      </c>
      <c r="AL220" s="39">
        <v>3</v>
      </c>
      <c r="AM220" s="39">
        <v>3</v>
      </c>
      <c r="AN220" s="45">
        <v>3</v>
      </c>
      <c r="AO220" s="39">
        <v>4</v>
      </c>
      <c r="AP220" s="39">
        <v>4</v>
      </c>
      <c r="AQ220" s="41">
        <v>4</v>
      </c>
      <c r="AR220" s="39">
        <v>1</v>
      </c>
      <c r="AS220" s="39">
        <v>1</v>
      </c>
      <c r="AT220" s="45">
        <v>1</v>
      </c>
      <c r="AU220" s="39">
        <v>2</v>
      </c>
      <c r="AV220" s="39">
        <v>2</v>
      </c>
      <c r="AW220" s="45">
        <v>2</v>
      </c>
      <c r="AX220" s="39">
        <v>3</v>
      </c>
      <c r="AY220" s="39">
        <v>3</v>
      </c>
      <c r="AZ220" s="45">
        <v>3</v>
      </c>
      <c r="BA220" s="39">
        <v>4</v>
      </c>
      <c r="BB220" s="39">
        <v>4</v>
      </c>
      <c r="BC220" s="41">
        <v>4</v>
      </c>
    </row>
    <row r="221" spans="1:55" x14ac:dyDescent="0.3">
      <c r="B221" s="38"/>
      <c r="AF221" s="42">
        <v>46053</v>
      </c>
      <c r="AG221" s="43">
        <v>46081</v>
      </c>
      <c r="AH221" s="46">
        <v>46112</v>
      </c>
      <c r="AI221" s="43">
        <v>46142</v>
      </c>
      <c r="AJ221" s="43">
        <v>46173</v>
      </c>
      <c r="AK221" s="46">
        <v>46203</v>
      </c>
      <c r="AL221" s="43">
        <v>46234</v>
      </c>
      <c r="AM221" s="43">
        <v>46265</v>
      </c>
      <c r="AN221" s="46">
        <v>46295</v>
      </c>
      <c r="AO221" s="43">
        <v>46326</v>
      </c>
      <c r="AP221" s="43">
        <v>46356</v>
      </c>
      <c r="AQ221" s="44">
        <v>46387</v>
      </c>
      <c r="AR221" s="43">
        <v>46418</v>
      </c>
      <c r="AS221" s="43">
        <v>46446</v>
      </c>
      <c r="AT221" s="46">
        <v>46477</v>
      </c>
      <c r="AU221" s="43">
        <v>46507</v>
      </c>
      <c r="AV221" s="43">
        <v>46538</v>
      </c>
      <c r="AW221" s="46">
        <v>46568</v>
      </c>
      <c r="AX221" s="43">
        <v>46599</v>
      </c>
      <c r="AY221" s="43">
        <v>46630</v>
      </c>
      <c r="AZ221" s="46">
        <v>46660</v>
      </c>
      <c r="BA221" s="43">
        <v>46691</v>
      </c>
      <c r="BB221" s="43">
        <v>46721</v>
      </c>
      <c r="BC221" s="44">
        <v>46752</v>
      </c>
    </row>
    <row r="223" spans="1:55" x14ac:dyDescent="0.3">
      <c r="C223" s="604" t="s">
        <v>363</v>
      </c>
      <c r="D223" s="604"/>
      <c r="E223" s="604"/>
      <c r="F223" s="604"/>
      <c r="G223" s="604"/>
      <c r="H223" s="604"/>
      <c r="I223" s="604"/>
      <c r="J223" s="604"/>
      <c r="K223" s="604"/>
      <c r="L223" s="604"/>
      <c r="M223" s="80"/>
      <c r="N223" s="80"/>
      <c r="O223" s="79"/>
      <c r="P223" s="604" t="s">
        <v>297</v>
      </c>
      <c r="Q223" s="604"/>
      <c r="R223" s="604"/>
      <c r="S223" s="604"/>
      <c r="T223" s="604"/>
      <c r="U223" s="604"/>
      <c r="V223" s="604"/>
      <c r="W223" s="604"/>
      <c r="X223" s="604"/>
      <c r="Y223" s="604"/>
    </row>
    <row r="224" spans="1:55" x14ac:dyDescent="0.3">
      <c r="AB224" s="19" t="s">
        <v>153</v>
      </c>
    </row>
    <row r="225" spans="15:55" x14ac:dyDescent="0.3">
      <c r="O225" s="20"/>
      <c r="AB225" s="51" t="s">
        <v>296</v>
      </c>
      <c r="AF225" s="54">
        <f ca="1">'Operational Model'!G75</f>
        <v>3854.2627159999997</v>
      </c>
      <c r="AG225" s="54">
        <f ca="1">'Operational Model'!H75</f>
        <v>3850.5065828856054</v>
      </c>
      <c r="AH225" s="54">
        <f ca="1">'Operational Model'!I75</f>
        <v>3840.0633643571455</v>
      </c>
      <c r="AI225" s="54">
        <f ca="1">'Operational Model'!J75</f>
        <v>3822.9123863230398</v>
      </c>
      <c r="AJ225" s="54">
        <f ca="1">'Operational Model'!K75</f>
        <v>3799.0632294140541</v>
      </c>
      <c r="AK225" s="54">
        <f ca="1">'Operational Model'!L75</f>
        <v>3768.5553473109971</v>
      </c>
      <c r="AL225" s="54">
        <f ca="1">'Operational Model'!M75</f>
        <v>3731.4577285268438</v>
      </c>
      <c r="AM225" s="54">
        <f ca="1">'Operational Model'!N75</f>
        <v>3687.8686008418572</v>
      </c>
      <c r="AN225" s="54">
        <f ca="1">'Operational Model'!O75</f>
        <v>3637.9151776494564</v>
      </c>
      <c r="AO225" s="54">
        <f ca="1">'Operational Model'!P75</f>
        <v>3581.753445528444</v>
      </c>
      <c r="AP225" s="54">
        <f ca="1">'Operational Model'!Q75</f>
        <v>3519.5679924137899</v>
      </c>
      <c r="AQ225" s="54">
        <f ca="1">'Operational Model'!R75</f>
        <v>3451.5718757935347</v>
      </c>
      <c r="AR225" s="54">
        <f ca="1">'Operational Model'!S75</f>
        <v>3402.5242701141328</v>
      </c>
      <c r="AS225" s="54">
        <f ca="1">'Operational Model'!T75</f>
        <v>3363.9329341993771</v>
      </c>
      <c r="AT225" s="54">
        <f ca="1">'Operational Model'!U75</f>
        <v>3336.2944546216468</v>
      </c>
      <c r="AU225" s="54">
        <f ca="1">'Operational Model'!V75</f>
        <v>3320.0182773316747</v>
      </c>
      <c r="AV225" s="54">
        <f ca="1">'Operational Model'!W75</f>
        <v>3315.5482242645448</v>
      </c>
      <c r="AW225" s="54">
        <f ca="1">'Operational Model'!X75</f>
        <v>3323.3554269179335</v>
      </c>
      <c r="AX225" s="54">
        <f ca="1">'Operational Model'!Y75</f>
        <v>3343.9386424675909</v>
      </c>
      <c r="AY225" s="54">
        <f ca="1">'Operational Model'!Z75</f>
        <v>3377.8245971049223</v>
      </c>
      <c r="AZ225" s="54">
        <f ca="1">'Operational Model'!AA75</f>
        <v>3425.568356816329</v>
      </c>
      <c r="BA225" s="54">
        <f ca="1">'Operational Model'!AB75</f>
        <v>3487.7537258495458</v>
      </c>
      <c r="BB225" s="54">
        <f ca="1">'Operational Model'!AC75</f>
        <v>3566.3535518302178</v>
      </c>
      <c r="BC225" s="54">
        <f ca="1">'Operational Model'!AD75</f>
        <v>3655.8764981690233</v>
      </c>
    </row>
    <row r="226" spans="15:55" x14ac:dyDescent="0.3">
      <c r="X226" s="63" t="s">
        <v>300</v>
      </c>
      <c r="Y226" s="63"/>
      <c r="Z226" s="63"/>
      <c r="AB226" s="51" t="s">
        <v>279</v>
      </c>
      <c r="AF226" s="54">
        <f>'Operational Model'!G336</f>
        <v>4.2627159999999087</v>
      </c>
      <c r="AG226" s="54">
        <f ca="1">'Operational Model'!H336</f>
        <v>-3.7561331143944905</v>
      </c>
      <c r="AH226" s="54">
        <f ca="1">'Operational Model'!I336</f>
        <v>-10.443218528459955</v>
      </c>
      <c r="AI226" s="54">
        <f ca="1">'Operational Model'!J336</f>
        <v>-17.150978034105719</v>
      </c>
      <c r="AJ226" s="54">
        <f ca="1">'Operational Model'!K336</f>
        <v>-23.849156908985695</v>
      </c>
      <c r="AK226" s="54">
        <f ca="1">'Operational Model'!L336</f>
        <v>-30.507882103056872</v>
      </c>
      <c r="AL226" s="54">
        <f ca="1">'Operational Model'!M336</f>
        <v>-37.097618784153326</v>
      </c>
      <c r="AM226" s="54">
        <f ca="1">'Operational Model'!N336</f>
        <v>-43.589127684986394</v>
      </c>
      <c r="AN226" s="54">
        <f ca="1">'Operational Model'!O336</f>
        <v>-49.953423192401033</v>
      </c>
      <c r="AO226" s="54">
        <f ca="1">'Operational Model'!P336</f>
        <v>-56.161732121012591</v>
      </c>
      <c r="AP226" s="54">
        <f ca="1">'Operational Model'!Q336</f>
        <v>-62.18545311465418</v>
      </c>
      <c r="AQ226" s="54">
        <f ca="1">'Operational Model'!R336</f>
        <v>-67.996116620255151</v>
      </c>
      <c r="AR226" s="54">
        <f ca="1">'Operational Model'!S336</f>
        <v>-49.047605679401698</v>
      </c>
      <c r="AS226" s="54">
        <f ca="1">'Operational Model'!T336</f>
        <v>-38.591335914755916</v>
      </c>
      <c r="AT226" s="54">
        <f ca="1">'Operational Model'!U336</f>
        <v>-27.638479577730166</v>
      </c>
      <c r="AU226" s="54">
        <f ca="1">'Operational Model'!V336</f>
        <v>-16.276177289972178</v>
      </c>
      <c r="AV226" s="54">
        <f ca="1">'Operational Model'!W336</f>
        <v>-4.47005306712974</v>
      </c>
      <c r="AW226" s="54">
        <f ca="1">'Operational Model'!X336</f>
        <v>7.8072026533887602</v>
      </c>
      <c r="AX226" s="54">
        <f ca="1">'Operational Model'!Y336</f>
        <v>20.583215549657542</v>
      </c>
      <c r="AY226" s="54">
        <f ca="1">'Operational Model'!Z336</f>
        <v>33.885954637331665</v>
      </c>
      <c r="AZ226" s="54">
        <f ca="1">'Operational Model'!AA336</f>
        <v>47.743759711406824</v>
      </c>
      <c r="BA226" s="54">
        <f ca="1">'Operational Model'!AB336</f>
        <v>62.185369033216844</v>
      </c>
      <c r="BB226" s="54">
        <f ca="1">'Operational Model'!AC336</f>
        <v>78.599825980672193</v>
      </c>
      <c r="BC226" s="54">
        <f ca="1">'Operational Model'!AD336</f>
        <v>89.522946338805681</v>
      </c>
    </row>
    <row r="227" spans="15:55" x14ac:dyDescent="0.3">
      <c r="P227" s="120"/>
      <c r="Q227" s="121"/>
      <c r="R227" s="122"/>
      <c r="S227" s="85"/>
      <c r="T227" s="120"/>
      <c r="U227" s="121"/>
      <c r="V227" s="122"/>
      <c r="X227" s="92"/>
      <c r="Y227" s="92"/>
      <c r="Z227" s="92"/>
      <c r="AB227" s="51" t="s">
        <v>124</v>
      </c>
      <c r="AF227" s="54">
        <f>'Operational Model'!G340</f>
        <v>0</v>
      </c>
      <c r="AG227" s="54">
        <f ca="1">'Operational Model'!H340</f>
        <v>3.7561331143944905</v>
      </c>
      <c r="AH227" s="54">
        <f ca="1">'Operational Model'!I340</f>
        <v>10.443218528459955</v>
      </c>
      <c r="AI227" s="54">
        <f ca="1">'Operational Model'!J340</f>
        <v>17.150978034105719</v>
      </c>
      <c r="AJ227" s="54">
        <f ca="1">'Operational Model'!K340</f>
        <v>23.849156908985695</v>
      </c>
      <c r="AK227" s="54">
        <f ca="1">'Operational Model'!L340</f>
        <v>30.507882103056872</v>
      </c>
      <c r="AL227" s="54">
        <f ca="1">'Operational Model'!M340</f>
        <v>37.097618784153326</v>
      </c>
      <c r="AM227" s="54">
        <f ca="1">'Operational Model'!N340</f>
        <v>43.589127684986394</v>
      </c>
      <c r="AN227" s="54">
        <f ca="1">'Operational Model'!O340</f>
        <v>49.953423192401033</v>
      </c>
      <c r="AO227" s="54">
        <f ca="1">'Operational Model'!P340</f>
        <v>56.161732121012591</v>
      </c>
      <c r="AP227" s="54">
        <f ca="1">'Operational Model'!Q340</f>
        <v>62.18545311465418</v>
      </c>
      <c r="AQ227" s="54">
        <f ca="1">'Operational Model'!R340</f>
        <v>67.996116620255151</v>
      </c>
      <c r="AR227" s="54">
        <f ca="1">'Operational Model'!S340</f>
        <v>49.047605679401698</v>
      </c>
      <c r="AS227" s="54">
        <f ca="1">'Operational Model'!T340</f>
        <v>38.591335914755916</v>
      </c>
      <c r="AT227" s="54">
        <f ca="1">'Operational Model'!U340</f>
        <v>27.638479577730166</v>
      </c>
      <c r="AU227" s="54">
        <f ca="1">'Operational Model'!V340</f>
        <v>16.276177289972178</v>
      </c>
      <c r="AV227" s="54">
        <f ca="1">'Operational Model'!W340</f>
        <v>4.47005306712974</v>
      </c>
      <c r="AW227" s="54">
        <f ca="1">'Operational Model'!X340</f>
        <v>0</v>
      </c>
      <c r="AX227" s="54">
        <f ca="1">'Operational Model'!Y340</f>
        <v>0</v>
      </c>
      <c r="AY227" s="54">
        <f ca="1">'Operational Model'!Z340</f>
        <v>0</v>
      </c>
      <c r="AZ227" s="54">
        <f ca="1">'Operational Model'!AA340</f>
        <v>0</v>
      </c>
      <c r="BA227" s="54">
        <f ca="1">'Operational Model'!AB340</f>
        <v>0</v>
      </c>
      <c r="BB227" s="54">
        <f ca="1">'Operational Model'!AC340</f>
        <v>0</v>
      </c>
      <c r="BC227" s="54">
        <f ca="1">'Operational Model'!AD340</f>
        <v>0</v>
      </c>
    </row>
    <row r="228" spans="15:55" x14ac:dyDescent="0.3">
      <c r="P228" s="123" t="s">
        <v>298</v>
      </c>
      <c r="Q228" s="60"/>
      <c r="R228" s="124"/>
      <c r="S228" s="85"/>
      <c r="T228" s="123" t="s">
        <v>298</v>
      </c>
      <c r="U228" s="60"/>
      <c r="V228" s="124"/>
      <c r="X228" s="605"/>
      <c r="Y228" s="605"/>
      <c r="Z228" s="605"/>
      <c r="AB228" s="51"/>
    </row>
    <row r="229" spans="15:55" x14ac:dyDescent="0.3">
      <c r="P229" s="85"/>
      <c r="Q229" s="1"/>
      <c r="R229" s="88"/>
      <c r="S229" s="85"/>
      <c r="T229" s="85"/>
      <c r="U229" s="1"/>
      <c r="V229" s="88"/>
      <c r="X229" s="606"/>
      <c r="Y229" s="606"/>
      <c r="Z229" s="606"/>
      <c r="AB229" s="51"/>
    </row>
    <row r="230" spans="15:55" x14ac:dyDescent="0.3">
      <c r="P230" s="85"/>
      <c r="Q230" s="94">
        <f ca="1">AQ225</f>
        <v>3451.5718757935347</v>
      </c>
      <c r="R230" s="88"/>
      <c r="S230" s="85"/>
      <c r="T230" s="85"/>
      <c r="U230" s="94">
        <f ca="1">AU225</f>
        <v>3320.0182773316747</v>
      </c>
      <c r="V230" s="88"/>
    </row>
    <row r="231" spans="15:55" x14ac:dyDescent="0.3">
      <c r="P231" s="85"/>
      <c r="Q231" s="1"/>
      <c r="R231" s="88"/>
      <c r="S231" s="85"/>
      <c r="T231" s="85"/>
      <c r="U231" s="1"/>
      <c r="V231" s="88"/>
      <c r="X231" s="606"/>
      <c r="Y231" s="606"/>
      <c r="Z231" s="606"/>
      <c r="AF231" s="90">
        <v>1</v>
      </c>
      <c r="AG231" s="90">
        <v>2</v>
      </c>
      <c r="AH231" s="90">
        <v>3</v>
      </c>
      <c r="AI231" s="90">
        <v>4</v>
      </c>
      <c r="AJ231" s="90">
        <v>1</v>
      </c>
      <c r="AK231" s="90">
        <v>2</v>
      </c>
      <c r="AL231" s="90">
        <v>3</v>
      </c>
      <c r="AM231" s="90">
        <v>4</v>
      </c>
    </row>
    <row r="232" spans="15:55" x14ac:dyDescent="0.3">
      <c r="P232" s="85"/>
      <c r="Q232" s="87">
        <f>AQ221</f>
        <v>46387</v>
      </c>
      <c r="R232" s="88"/>
      <c r="S232" s="85"/>
      <c r="T232" s="85"/>
      <c r="U232" s="87">
        <f>BC221</f>
        <v>46752</v>
      </c>
      <c r="V232" s="88"/>
      <c r="X232" s="606"/>
      <c r="Y232" s="606"/>
      <c r="Z232" s="606"/>
    </row>
    <row r="233" spans="15:55" x14ac:dyDescent="0.3">
      <c r="P233" s="86"/>
      <c r="Q233" s="21"/>
      <c r="R233" s="89"/>
      <c r="S233" s="85"/>
      <c r="T233" s="86"/>
      <c r="U233" s="21"/>
      <c r="V233" s="89"/>
      <c r="AB233" s="51" t="s">
        <v>296</v>
      </c>
      <c r="AF233" s="54">
        <f ca="1">AH225</f>
        <v>3840.0633643571455</v>
      </c>
      <c r="AG233" s="54">
        <f ca="1">AK225</f>
        <v>3768.5553473109971</v>
      </c>
      <c r="AH233" s="54">
        <f ca="1">AN225</f>
        <v>3637.9151776494564</v>
      </c>
      <c r="AI233" s="54">
        <f ca="1">AQ225</f>
        <v>3451.5718757935347</v>
      </c>
      <c r="AJ233" s="54">
        <f ca="1">AT225</f>
        <v>3336.2944546216468</v>
      </c>
      <c r="AK233" s="54">
        <f ca="1">AW225</f>
        <v>3323.3554269179335</v>
      </c>
      <c r="AL233" s="54">
        <f ca="1">AZ225</f>
        <v>3425.568356816329</v>
      </c>
      <c r="AM233" s="54">
        <f ca="1">BC225</f>
        <v>3655.8764981690233</v>
      </c>
    </row>
    <row r="234" spans="15:55" x14ac:dyDescent="0.3">
      <c r="AB234" s="51" t="s">
        <v>332</v>
      </c>
      <c r="AF234" s="54">
        <f ca="1">AVERAGE(AF227,AG227,AH227)</f>
        <v>4.7331172142848148</v>
      </c>
      <c r="AG234" s="54">
        <f ca="1">AVERAGE(AI227,AJ227,AK227)</f>
        <v>23.836005682049429</v>
      </c>
      <c r="AH234" s="54">
        <f ca="1">AVERAGE(AL227,AM227,AN227)</f>
        <v>43.546723220513591</v>
      </c>
      <c r="AI234" s="54">
        <f ca="1">AVERAGE(AO227,AP227,AQ227)</f>
        <v>62.114433951973979</v>
      </c>
      <c r="AJ234" s="54">
        <f ca="1">AVERAGE(AR227,AS227,AT227)</f>
        <v>38.425807057295927</v>
      </c>
      <c r="AK234" s="54">
        <f ca="1">AVERAGE(AU227,AV227,AW227)</f>
        <v>6.9154101190339725</v>
      </c>
      <c r="AL234" s="54">
        <f ca="1">AVERAGE(AX227,AY227,AZ227)</f>
        <v>0</v>
      </c>
      <c r="AM234" s="54">
        <f ca="1">AVERAGE(BA227,BB227,BC227)</f>
        <v>0</v>
      </c>
    </row>
    <row r="235" spans="15:55" x14ac:dyDescent="0.3">
      <c r="X235" s="63" t="s">
        <v>300</v>
      </c>
      <c r="Y235" s="63"/>
      <c r="Z235" s="63"/>
    </row>
    <row r="236" spans="15:55" x14ac:dyDescent="0.3">
      <c r="P236" s="120"/>
      <c r="Q236" s="121"/>
      <c r="R236" s="122"/>
      <c r="S236" s="85"/>
      <c r="T236" s="120"/>
      <c r="U236" s="121"/>
      <c r="V236" s="122"/>
    </row>
    <row r="237" spans="15:55" x14ac:dyDescent="0.3">
      <c r="P237" s="123" t="s">
        <v>299</v>
      </c>
      <c r="Q237" s="60"/>
      <c r="R237" s="124"/>
      <c r="S237" s="85"/>
      <c r="T237" s="123" t="s">
        <v>299</v>
      </c>
      <c r="U237" s="60"/>
      <c r="V237" s="124"/>
      <c r="X237" s="606"/>
      <c r="Y237" s="606"/>
      <c r="Z237" s="606"/>
    </row>
    <row r="238" spans="15:55" x14ac:dyDescent="0.3">
      <c r="P238" s="85"/>
      <c r="Q238" s="1"/>
      <c r="R238" s="88"/>
      <c r="S238" s="85"/>
      <c r="T238" s="85"/>
      <c r="U238" s="1"/>
      <c r="V238" s="88"/>
      <c r="X238" s="606"/>
      <c r="Y238" s="606"/>
      <c r="Z238" s="606"/>
      <c r="AF238" s="91" t="s">
        <v>293</v>
      </c>
      <c r="AG238" s="91" t="s">
        <v>294</v>
      </c>
    </row>
    <row r="239" spans="15:55" x14ac:dyDescent="0.3">
      <c r="P239" s="85"/>
      <c r="Q239" s="95">
        <f ca="1">AQ227</f>
        <v>67.996116620255151</v>
      </c>
      <c r="R239" s="88"/>
      <c r="S239" s="85"/>
      <c r="T239" s="85"/>
      <c r="U239" s="94">
        <f ca="1">BC227</f>
        <v>0</v>
      </c>
      <c r="V239" s="88"/>
    </row>
    <row r="240" spans="15:55" x14ac:dyDescent="0.3">
      <c r="P240" s="85"/>
      <c r="Q240" s="1"/>
      <c r="R240" s="88"/>
      <c r="S240" s="85"/>
      <c r="T240" s="85"/>
      <c r="U240" s="1"/>
      <c r="V240" s="88"/>
      <c r="X240" s="606"/>
      <c r="Y240" s="606"/>
      <c r="Z240" s="606"/>
      <c r="AB240" s="51" t="s">
        <v>130</v>
      </c>
      <c r="AF240" s="82">
        <f ca="1">'Operational Model'!G353</f>
        <v>46568</v>
      </c>
      <c r="AG240" s="83"/>
    </row>
    <row r="241" spans="1:55" x14ac:dyDescent="0.3">
      <c r="P241" s="85"/>
      <c r="Q241" s="81">
        <f>AQ221</f>
        <v>46387</v>
      </c>
      <c r="R241" s="88"/>
      <c r="S241" s="85"/>
      <c r="T241" s="85"/>
      <c r="U241" s="87">
        <f>BC221</f>
        <v>46752</v>
      </c>
      <c r="V241" s="88"/>
      <c r="X241" s="606"/>
      <c r="Y241" s="606"/>
      <c r="Z241" s="606"/>
    </row>
    <row r="242" spans="1:55" x14ac:dyDescent="0.3">
      <c r="P242" s="86"/>
      <c r="Q242" s="21"/>
      <c r="R242" s="89"/>
      <c r="S242" s="85"/>
      <c r="T242" s="86"/>
      <c r="U242" s="21"/>
      <c r="V242" s="89"/>
    </row>
    <row r="245" spans="1:55" x14ac:dyDescent="0.3">
      <c r="P245" s="125" t="s">
        <v>301</v>
      </c>
      <c r="Q245" s="126"/>
      <c r="R245" s="126"/>
      <c r="S245" s="84"/>
      <c r="T245" s="98">
        <f ca="1">AF240</f>
        <v>46568</v>
      </c>
      <c r="U245" s="97"/>
      <c r="V245" s="99"/>
      <c r="W245" s="85"/>
      <c r="X245" s="1"/>
      <c r="Y245" s="1"/>
      <c r="Z245" s="1"/>
    </row>
    <row r="246" spans="1:55" x14ac:dyDescent="0.3">
      <c r="P246" s="86"/>
      <c r="Q246" s="21"/>
      <c r="R246" s="21"/>
      <c r="S246" s="21"/>
      <c r="T246" s="100" t="str">
        <f ca="1">IF(T245="-","✗ Outside forecast","✓ Within forecast")</f>
        <v>✓ Within forecast</v>
      </c>
      <c r="U246" s="100"/>
      <c r="V246" s="101"/>
    </row>
    <row r="251" spans="1:55" ht="21" x14ac:dyDescent="0.3">
      <c r="A251" t="s">
        <v>33</v>
      </c>
      <c r="B251" s="5" t="s">
        <v>154</v>
      </c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B251" s="5" t="s">
        <v>151</v>
      </c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</row>
    <row r="253" spans="1:55" x14ac:dyDescent="0.3">
      <c r="B253" s="38" t="s">
        <v>24</v>
      </c>
      <c r="AB253" s="38" t="s">
        <v>24</v>
      </c>
      <c r="AF253" s="47">
        <v>2026</v>
      </c>
      <c r="AG253" s="48">
        <v>2026</v>
      </c>
      <c r="AH253" s="49">
        <v>2026</v>
      </c>
      <c r="AI253" s="48">
        <v>2026</v>
      </c>
      <c r="AJ253" s="48">
        <v>2026</v>
      </c>
      <c r="AK253" s="49">
        <v>2026</v>
      </c>
      <c r="AL253" s="48">
        <v>2026</v>
      </c>
      <c r="AM253" s="48">
        <v>2026</v>
      </c>
      <c r="AN253" s="49">
        <v>2026</v>
      </c>
      <c r="AO253" s="48">
        <v>2026</v>
      </c>
      <c r="AP253" s="48">
        <v>2026</v>
      </c>
      <c r="AQ253" s="50">
        <v>2026</v>
      </c>
      <c r="AR253" s="48">
        <v>2027</v>
      </c>
      <c r="AS253" s="48">
        <v>2027</v>
      </c>
      <c r="AT253" s="49">
        <v>2027</v>
      </c>
      <c r="AU253" s="48">
        <v>2027</v>
      </c>
      <c r="AV253" s="48">
        <v>2027</v>
      </c>
      <c r="AW253" s="49">
        <v>2027</v>
      </c>
      <c r="AX253" s="48">
        <v>2027</v>
      </c>
      <c r="AY253" s="48">
        <v>2027</v>
      </c>
      <c r="AZ253" s="49">
        <v>2027</v>
      </c>
      <c r="BA253" s="48">
        <v>2027</v>
      </c>
      <c r="BB253" s="48">
        <v>2027</v>
      </c>
      <c r="BC253" s="50">
        <v>2027</v>
      </c>
    </row>
    <row r="254" spans="1:55" x14ac:dyDescent="0.3">
      <c r="B254" s="38" t="str" cm="1">
        <f t="array" ref="B254">CONCATENATE("Model Running: ",INDEX(Inputs!$B$15:$B$17,Inputs!$D$8)," Drivers")</f>
        <v>Model Running: Base Case Drivers</v>
      </c>
      <c r="AF254" s="40">
        <v>1</v>
      </c>
      <c r="AG254" s="39">
        <v>1</v>
      </c>
      <c r="AH254" s="45">
        <v>1</v>
      </c>
      <c r="AI254" s="39">
        <v>2</v>
      </c>
      <c r="AJ254" s="39">
        <v>2</v>
      </c>
      <c r="AK254" s="45">
        <v>2</v>
      </c>
      <c r="AL254" s="39">
        <v>3</v>
      </c>
      <c r="AM254" s="39">
        <v>3</v>
      </c>
      <c r="AN254" s="45">
        <v>3</v>
      </c>
      <c r="AO254" s="39">
        <v>4</v>
      </c>
      <c r="AP254" s="39">
        <v>4</v>
      </c>
      <c r="AQ254" s="41">
        <v>4</v>
      </c>
      <c r="AR254" s="39">
        <v>1</v>
      </c>
      <c r="AS254" s="39">
        <v>1</v>
      </c>
      <c r="AT254" s="45">
        <v>1</v>
      </c>
      <c r="AU254" s="39">
        <v>2</v>
      </c>
      <c r="AV254" s="39">
        <v>2</v>
      </c>
      <c r="AW254" s="45">
        <v>2</v>
      </c>
      <c r="AX254" s="39">
        <v>3</v>
      </c>
      <c r="AY254" s="39">
        <v>3</v>
      </c>
      <c r="AZ254" s="45">
        <v>3</v>
      </c>
      <c r="BA254" s="39">
        <v>4</v>
      </c>
      <c r="BB254" s="39">
        <v>4</v>
      </c>
      <c r="BC254" s="41">
        <v>4</v>
      </c>
    </row>
    <row r="255" spans="1:55" x14ac:dyDescent="0.3">
      <c r="AF255" s="42">
        <v>46053</v>
      </c>
      <c r="AG255" s="43">
        <v>46081</v>
      </c>
      <c r="AH255" s="46">
        <v>46112</v>
      </c>
      <c r="AI255" s="43">
        <v>46142</v>
      </c>
      <c r="AJ255" s="43">
        <v>46173</v>
      </c>
      <c r="AK255" s="46">
        <v>46203</v>
      </c>
      <c r="AL255" s="43">
        <v>46234</v>
      </c>
      <c r="AM255" s="43">
        <v>46265</v>
      </c>
      <c r="AN255" s="46">
        <v>46295</v>
      </c>
      <c r="AO255" s="43">
        <v>46326</v>
      </c>
      <c r="AP255" s="43">
        <v>46356</v>
      </c>
      <c r="AQ255" s="44">
        <v>46387</v>
      </c>
      <c r="AR255" s="43">
        <v>46418</v>
      </c>
      <c r="AS255" s="43">
        <v>46446</v>
      </c>
      <c r="AT255" s="46">
        <v>46477</v>
      </c>
      <c r="AU255" s="43">
        <v>46507</v>
      </c>
      <c r="AV255" s="43">
        <v>46538</v>
      </c>
      <c r="AW255" s="46">
        <v>46568</v>
      </c>
      <c r="AX255" s="43">
        <v>46599</v>
      </c>
      <c r="AY255" s="43">
        <v>46630</v>
      </c>
      <c r="AZ255" s="46">
        <v>46660</v>
      </c>
      <c r="BA255" s="43">
        <v>46691</v>
      </c>
      <c r="BB255" s="43">
        <v>46721</v>
      </c>
      <c r="BC255" s="44">
        <v>46752</v>
      </c>
    </row>
    <row r="257" spans="3:55" x14ac:dyDescent="0.3">
      <c r="C257" s="604" t="s">
        <v>22</v>
      </c>
      <c r="D257" s="604"/>
      <c r="E257" s="604"/>
      <c r="F257" s="604"/>
      <c r="G257" s="604"/>
      <c r="H257" s="604"/>
      <c r="I257" s="604"/>
      <c r="J257" s="604"/>
      <c r="K257" s="604"/>
      <c r="L257" s="604"/>
      <c r="M257" s="80"/>
      <c r="N257" s="80"/>
      <c r="O257" s="79"/>
      <c r="P257" s="604" t="s">
        <v>305</v>
      </c>
      <c r="Q257" s="604"/>
      <c r="R257" s="604"/>
      <c r="S257" s="604"/>
      <c r="T257" s="604"/>
      <c r="U257" s="604"/>
      <c r="V257" s="604"/>
      <c r="W257" s="604"/>
      <c r="X257" s="604"/>
      <c r="Y257" s="604"/>
    </row>
    <row r="258" spans="3:55" x14ac:dyDescent="0.3">
      <c r="AB258" s="19" t="s">
        <v>154</v>
      </c>
    </row>
    <row r="259" spans="3:55" x14ac:dyDescent="0.3">
      <c r="AB259" s="51" t="s">
        <v>302</v>
      </c>
      <c r="AF259" s="54" t="e">
        <f>IF('Operational Model'!G341=" ",NA(),MIN('Operational Model'!G341,36))</f>
        <v>#N/A</v>
      </c>
      <c r="AG259" s="54">
        <f ca="1">IF('Operational Model'!H341=" ",NA(),MIN('Operational Model'!H341,36))</f>
        <v>36</v>
      </c>
      <c r="AH259" s="54">
        <f ca="1">IF('Operational Model'!I341=" ",NA(),MIN('Operational Model'!I341,36))</f>
        <v>36</v>
      </c>
      <c r="AI259" s="54">
        <f ca="1">IF('Operational Model'!J341=" ",NA(),MIN('Operational Model'!J341,36))</f>
        <v>36</v>
      </c>
      <c r="AJ259" s="54">
        <f ca="1">IF('Operational Model'!K341=" ",NA(),MIN('Operational Model'!K341,36))</f>
        <v>36</v>
      </c>
      <c r="AK259" s="54">
        <f ca="1">IF('Operational Model'!L341=" ",NA(),MIN('Operational Model'!L341,36))</f>
        <v>36</v>
      </c>
      <c r="AL259" s="54">
        <f ca="1">IF('Operational Model'!M341=" ",NA(),MIN('Operational Model'!M341,36))</f>
        <v>36</v>
      </c>
      <c r="AM259" s="54">
        <f ca="1">IF('Operational Model'!N341=" ",NA(),MIN('Operational Model'!N341,36))</f>
        <v>36</v>
      </c>
      <c r="AN259" s="54">
        <f ca="1">IF('Operational Model'!O341=" ",NA(),MIN('Operational Model'!O341,36))</f>
        <v>36</v>
      </c>
      <c r="AO259" s="54">
        <f ca="1">IF('Operational Model'!P341=" ",NA(),MIN('Operational Model'!P341,36))</f>
        <v>36</v>
      </c>
      <c r="AP259" s="54">
        <f ca="1">IF('Operational Model'!Q341=" ",NA(),MIN('Operational Model'!Q341,36))</f>
        <v>36</v>
      </c>
      <c r="AQ259" s="54">
        <f ca="1">IF('Operational Model'!R341=" ",NA(),MIN('Operational Model'!R341,36))</f>
        <v>36</v>
      </c>
      <c r="AR259" s="54">
        <f ca="1">IF('Operational Model'!S341=" ",NA(),MIN('Operational Model'!S341,36))</f>
        <v>36</v>
      </c>
      <c r="AS259" s="54">
        <f ca="1">IF('Operational Model'!T341=" ",NA(),MIN('Operational Model'!T341,36))</f>
        <v>36</v>
      </c>
      <c r="AT259" s="54">
        <f ca="1">IF('Operational Model'!U341=" ",NA(),MIN('Operational Model'!U341,36))</f>
        <v>36</v>
      </c>
      <c r="AU259" s="54">
        <f ca="1">IF('Operational Model'!V341=" ",NA(),MIN('Operational Model'!V341,36))</f>
        <v>36</v>
      </c>
      <c r="AV259" s="54">
        <f ca="1">IF('Operational Model'!W341=" ",NA(),MIN('Operational Model'!W341,36))</f>
        <v>36</v>
      </c>
      <c r="AW259" s="54" t="e">
        <f ca="1">IF('Operational Model'!X341=" ",NA(),MIN('Operational Model'!X341,36))</f>
        <v>#N/A</v>
      </c>
      <c r="AX259" s="54" t="e">
        <f ca="1">IF('Operational Model'!Y341=" ",NA(),MIN('Operational Model'!Y341,36))</f>
        <v>#N/A</v>
      </c>
      <c r="AY259" s="54" t="e">
        <f ca="1">IF('Operational Model'!Z341=" ",NA(),MIN('Operational Model'!Z341,36))</f>
        <v>#N/A</v>
      </c>
      <c r="AZ259" s="54" t="e">
        <f ca="1">IF('Operational Model'!AA341=" ",NA(),MIN('Operational Model'!AA341,36))</f>
        <v>#N/A</v>
      </c>
      <c r="BA259" s="54" t="e">
        <f ca="1">IF('Operational Model'!AB341=" ",NA(),MIN('Operational Model'!AB341,36))</f>
        <v>#N/A</v>
      </c>
      <c r="BB259" s="54" t="e">
        <f ca="1">IF('Operational Model'!AC341=" ",NA(),MIN('Operational Model'!AC341,36))</f>
        <v>#N/A</v>
      </c>
      <c r="BC259" s="54" t="e">
        <f ca="1">IF('Operational Model'!AD341=" ",NA(),MIN('Operational Model'!AD341,36))</f>
        <v>#N/A</v>
      </c>
    </row>
    <row r="260" spans="3:55" x14ac:dyDescent="0.3">
      <c r="AB260" s="51" t="s">
        <v>304</v>
      </c>
      <c r="AF260" s="54">
        <f>Inputs!$F$112</f>
        <v>18</v>
      </c>
      <c r="AG260" s="54">
        <f>Inputs!$F$112</f>
        <v>18</v>
      </c>
      <c r="AH260" s="54">
        <f>Inputs!$F$112</f>
        <v>18</v>
      </c>
      <c r="AI260" s="54">
        <f>Inputs!$F$112</f>
        <v>18</v>
      </c>
      <c r="AJ260" s="54">
        <f>Inputs!$F$112</f>
        <v>18</v>
      </c>
      <c r="AK260" s="54">
        <f>Inputs!$F$112</f>
        <v>18</v>
      </c>
      <c r="AL260" s="54">
        <f>Inputs!$F$112</f>
        <v>18</v>
      </c>
      <c r="AM260" s="54">
        <f>Inputs!$F$112</f>
        <v>18</v>
      </c>
      <c r="AN260" s="54">
        <f>Inputs!$F$112</f>
        <v>18</v>
      </c>
      <c r="AO260" s="54">
        <f>Inputs!$F$112</f>
        <v>18</v>
      </c>
      <c r="AP260" s="54">
        <f>Inputs!$F$112</f>
        <v>18</v>
      </c>
      <c r="AQ260" s="54">
        <f>Inputs!$F$112</f>
        <v>18</v>
      </c>
      <c r="AR260" s="54">
        <f>Inputs!$F$112</f>
        <v>18</v>
      </c>
      <c r="AS260" s="54">
        <f>Inputs!$F$112</f>
        <v>18</v>
      </c>
      <c r="AT260" s="54">
        <f>Inputs!$F$112</f>
        <v>18</v>
      </c>
      <c r="AU260" s="54">
        <f>Inputs!$F$112</f>
        <v>18</v>
      </c>
      <c r="AV260" s="54">
        <f>Inputs!$F$112</f>
        <v>18</v>
      </c>
      <c r="AW260" s="54">
        <f>Inputs!$F$112</f>
        <v>18</v>
      </c>
      <c r="AX260" s="54">
        <f>Inputs!$F$112</f>
        <v>18</v>
      </c>
      <c r="AY260" s="54">
        <f>Inputs!$F$112</f>
        <v>18</v>
      </c>
      <c r="AZ260" s="54">
        <f>Inputs!$F$112</f>
        <v>18</v>
      </c>
      <c r="BA260" s="54">
        <f>Inputs!$F$112</f>
        <v>18</v>
      </c>
      <c r="BB260" s="54">
        <f>Inputs!$F$112</f>
        <v>18</v>
      </c>
      <c r="BC260" s="54">
        <f>Inputs!$F$112</f>
        <v>18</v>
      </c>
    </row>
    <row r="261" spans="3:55" x14ac:dyDescent="0.3">
      <c r="Q261" s="130"/>
      <c r="R261" s="131"/>
      <c r="S261" s="132"/>
      <c r="V261" s="130"/>
      <c r="W261" s="131"/>
      <c r="X261" s="132"/>
      <c r="Y261" s="103"/>
    </row>
    <row r="262" spans="3:55" x14ac:dyDescent="0.3">
      <c r="Q262" s="133" t="s">
        <v>307</v>
      </c>
      <c r="R262" s="134"/>
      <c r="S262" s="135"/>
      <c r="V262" s="133" t="s">
        <v>309</v>
      </c>
      <c r="W262" s="134"/>
      <c r="X262" s="135"/>
      <c r="Y262" s="103"/>
    </row>
    <row r="263" spans="3:55" x14ac:dyDescent="0.3">
      <c r="Q263" s="85"/>
      <c r="R263" s="1"/>
      <c r="S263" s="114"/>
      <c r="V263" s="127"/>
      <c r="W263" s="128"/>
      <c r="X263" s="129"/>
      <c r="Y263" s="103"/>
    </row>
    <row r="264" spans="3:55" x14ac:dyDescent="0.3">
      <c r="Q264" s="106">
        <f ca="1">AF266</f>
        <v>0</v>
      </c>
      <c r="R264" s="104"/>
      <c r="S264" s="117"/>
      <c r="V264" s="108"/>
      <c r="W264" s="104"/>
      <c r="X264" s="114"/>
      <c r="Y264" s="103"/>
      <c r="AF264" s="91" t="s">
        <v>293</v>
      </c>
      <c r="AG264" s="91" t="s">
        <v>294</v>
      </c>
    </row>
    <row r="265" spans="3:55" x14ac:dyDescent="0.3">
      <c r="Q265" s="85"/>
      <c r="R265" s="1"/>
      <c r="S265" s="114"/>
      <c r="V265" s="115">
        <f ca="1">AF268</f>
        <v>0</v>
      </c>
      <c r="W265" s="59"/>
      <c r="X265" s="116"/>
      <c r="Y265" s="103"/>
    </row>
    <row r="266" spans="3:55" x14ac:dyDescent="0.3">
      <c r="Q266" s="105" t="str">
        <f ca="1">IF(Q264=1,"✓  Raise required","✗ No raise required")</f>
        <v>✗ No raise required</v>
      </c>
      <c r="R266" s="82"/>
      <c r="S266" s="118"/>
      <c r="V266" s="108"/>
      <c r="W266" s="82"/>
      <c r="X266" s="114"/>
      <c r="Y266" s="103"/>
      <c r="AB266" s="51" t="s">
        <v>303</v>
      </c>
      <c r="AF266" s="102">
        <f ca="1">'Operational Model'!G355</f>
        <v>0</v>
      </c>
      <c r="AG266" s="83"/>
    </row>
    <row r="267" spans="3:55" x14ac:dyDescent="0.3">
      <c r="Q267" s="86"/>
      <c r="R267" s="21"/>
      <c r="S267" s="96"/>
      <c r="V267" s="86"/>
      <c r="W267" s="21"/>
      <c r="X267" s="96"/>
      <c r="Y267" s="103"/>
      <c r="AB267" s="51" t="s">
        <v>134</v>
      </c>
      <c r="AF267" s="107" t="str">
        <f ca="1">'Operational Model'!G358</f>
        <v>No Funding Required</v>
      </c>
      <c r="AG267" s="83"/>
    </row>
    <row r="268" spans="3:55" x14ac:dyDescent="0.3">
      <c r="AB268" s="51" t="s">
        <v>126</v>
      </c>
      <c r="AF268" s="83">
        <f ca="1">'Operational Model'!G356</f>
        <v>0</v>
      </c>
      <c r="AG268" s="83"/>
    </row>
    <row r="269" spans="3:55" x14ac:dyDescent="0.3">
      <c r="AB269" s="51" t="s">
        <v>131</v>
      </c>
      <c r="AF269" s="119" t="str">
        <f ca="1">'Operational Model'!G357</f>
        <v>No Funding Required</v>
      </c>
      <c r="AG269" s="83"/>
    </row>
    <row r="272" spans="3:55" x14ac:dyDescent="0.3">
      <c r="Q272" s="130"/>
      <c r="R272" s="131"/>
      <c r="S272" s="103"/>
      <c r="T272" s="130"/>
      <c r="U272" s="131"/>
      <c r="V272" s="103"/>
      <c r="W272" s="130"/>
      <c r="X272" s="131"/>
      <c r="Y272" s="103"/>
    </row>
    <row r="273" spans="1:26" x14ac:dyDescent="0.3">
      <c r="P273" s="114"/>
      <c r="Q273" s="133" t="s">
        <v>22</v>
      </c>
      <c r="R273" s="134"/>
      <c r="S273" s="103"/>
      <c r="T273" s="133" t="s">
        <v>308</v>
      </c>
      <c r="U273" s="134"/>
      <c r="V273" s="103"/>
      <c r="W273" s="133" t="s">
        <v>310</v>
      </c>
      <c r="X273" s="134"/>
      <c r="Y273" s="103"/>
    </row>
    <row r="274" spans="1:26" x14ac:dyDescent="0.3">
      <c r="Q274" s="85"/>
      <c r="R274" s="1"/>
      <c r="S274" s="103"/>
      <c r="T274" s="127"/>
      <c r="U274" s="128"/>
      <c r="V274" s="103"/>
      <c r="W274" s="85"/>
      <c r="X274" s="1"/>
      <c r="Y274" s="103"/>
    </row>
    <row r="275" spans="1:26" x14ac:dyDescent="0.3">
      <c r="Q275" s="85"/>
      <c r="S275" s="103"/>
      <c r="T275" s="108"/>
      <c r="U275" s="104"/>
      <c r="V275" s="103"/>
      <c r="W275" s="108"/>
      <c r="X275" s="104"/>
      <c r="Y275" s="103"/>
    </row>
    <row r="276" spans="1:26" x14ac:dyDescent="0.3">
      <c r="Q276" s="110">
        <f>AQ255</f>
        <v>46387</v>
      </c>
      <c r="R276" s="112">
        <f>BC255</f>
        <v>46752</v>
      </c>
      <c r="S276" s="103"/>
      <c r="T276" s="109" t="str">
        <f ca="1">IF(AF267="No Funding Required","-",AF267)</f>
        <v>-</v>
      </c>
      <c r="U276" s="59"/>
      <c r="V276" s="103"/>
      <c r="W276" s="109" t="str">
        <f ca="1">IF(AF269="Series B",AF269,"-")</f>
        <v>-</v>
      </c>
      <c r="X276" s="59"/>
      <c r="Y276" s="103"/>
    </row>
    <row r="277" spans="1:26" x14ac:dyDescent="0.3">
      <c r="Q277" s="111">
        <f ca="1">AQ259</f>
        <v>36</v>
      </c>
      <c r="R277" s="113">
        <f>BC260</f>
        <v>18</v>
      </c>
      <c r="S277" s="103"/>
      <c r="T277" s="105"/>
      <c r="U277" s="82"/>
      <c r="V277" s="103"/>
      <c r="W277" s="105"/>
      <c r="X277" s="82"/>
      <c r="Y277" s="103"/>
    </row>
    <row r="278" spans="1:26" x14ac:dyDescent="0.3">
      <c r="Q278" s="86"/>
      <c r="R278" s="21"/>
      <c r="S278" s="103"/>
      <c r="T278" s="86"/>
      <c r="U278" s="21"/>
      <c r="V278" s="103"/>
      <c r="W278" s="86"/>
      <c r="X278" s="21"/>
      <c r="Y278" s="103"/>
    </row>
    <row r="283" spans="1:26" x14ac:dyDescent="0.3">
      <c r="M283" s="64" t="s">
        <v>306</v>
      </c>
    </row>
    <row r="286" spans="1:26" ht="21" x14ac:dyDescent="0.3">
      <c r="A286" t="s">
        <v>33</v>
      </c>
      <c r="B286" s="5" t="s">
        <v>311</v>
      </c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8" spans="1:26" x14ac:dyDescent="0.3">
      <c r="B288" s="38" t="s">
        <v>24</v>
      </c>
    </row>
    <row r="289" spans="2:25" x14ac:dyDescent="0.3">
      <c r="B289" s="38" t="str" cm="1">
        <f t="array" ref="B289">CONCATENATE("Model Running: ",INDEX(Inputs!$B$15:$B$17,Inputs!$D$8)," Drivers")</f>
        <v>Model Running: Base Case Drivers</v>
      </c>
    </row>
    <row r="292" spans="2:25" x14ac:dyDescent="0.3">
      <c r="C292" s="604" t="s">
        <v>312</v>
      </c>
      <c r="D292" s="604"/>
      <c r="E292" s="604"/>
      <c r="F292" s="604"/>
      <c r="G292" s="604"/>
      <c r="H292" s="604"/>
      <c r="I292" s="604"/>
      <c r="J292" s="604"/>
      <c r="K292" s="604"/>
      <c r="L292" s="604"/>
      <c r="M292" s="80"/>
      <c r="N292" s="80"/>
      <c r="O292" s="79"/>
      <c r="P292" s="604" t="s">
        <v>322</v>
      </c>
      <c r="Q292" s="604"/>
      <c r="R292" s="604"/>
      <c r="S292" s="604"/>
      <c r="T292" s="604"/>
      <c r="U292" s="604"/>
      <c r="V292" s="604"/>
      <c r="W292" s="604"/>
      <c r="X292" s="604"/>
      <c r="Y292" s="604"/>
    </row>
    <row r="293" spans="2:25" x14ac:dyDescent="0.3">
      <c r="C293" s="79"/>
      <c r="D293" s="79"/>
      <c r="E293" s="79"/>
      <c r="F293" s="79"/>
      <c r="G293" s="79"/>
      <c r="H293" s="79"/>
      <c r="I293" s="79"/>
      <c r="J293" s="79"/>
      <c r="K293" s="79"/>
      <c r="L293" s="79"/>
      <c r="M293" s="80"/>
      <c r="N293" s="80"/>
      <c r="O293" s="79"/>
      <c r="P293" s="79"/>
      <c r="Q293" s="79"/>
      <c r="R293" s="79"/>
      <c r="S293" s="79"/>
      <c r="T293" s="79"/>
      <c r="U293" s="79"/>
      <c r="V293" s="79"/>
      <c r="W293" s="79"/>
      <c r="X293" s="79"/>
      <c r="Y293" s="79"/>
    </row>
    <row r="295" spans="2:25" x14ac:dyDescent="0.3">
      <c r="C295" s="57"/>
      <c r="J295" s="137">
        <v>2026</v>
      </c>
      <c r="K295" s="137"/>
      <c r="L295" s="137">
        <v>2027</v>
      </c>
      <c r="W295" s="137">
        <v>2026</v>
      </c>
      <c r="X295" s="138"/>
      <c r="Y295" s="137">
        <v>2027</v>
      </c>
    </row>
    <row r="296" spans="2:25" x14ac:dyDescent="0.3">
      <c r="C296" s="57"/>
      <c r="J296" s="19"/>
      <c r="K296" s="19"/>
      <c r="L296" s="19"/>
      <c r="U296" s="19"/>
      <c r="W296" s="19"/>
    </row>
    <row r="297" spans="2:25" x14ac:dyDescent="0.3">
      <c r="C297" s="57" t="s">
        <v>159</v>
      </c>
      <c r="J297" s="136">
        <f>SUM('Operational Model'!G10:R10)</f>
        <v>12275.187310817568</v>
      </c>
      <c r="K297" s="136"/>
      <c r="L297" s="136">
        <f>SUM('Operational Model'!S10:AD10)</f>
        <v>15669.476576020183</v>
      </c>
      <c r="P297" s="19" t="s">
        <v>117</v>
      </c>
      <c r="T297" s="93"/>
      <c r="U297" s="93"/>
      <c r="V297" s="93"/>
      <c r="W297" s="136">
        <f>'Operational Model'!G73</f>
        <v>3850</v>
      </c>
      <c r="X297" s="136"/>
      <c r="Y297" s="136">
        <f ca="1">'Operational Model'!S73</f>
        <v>3451.5718757935347</v>
      </c>
    </row>
    <row r="298" spans="2:25" x14ac:dyDescent="0.3">
      <c r="C298" s="51" t="s">
        <v>187</v>
      </c>
      <c r="J298" s="54">
        <f>SUM('Operational Model'!G12:R13)</f>
        <v>-1887.4393655408783</v>
      </c>
      <c r="K298" s="54"/>
      <c r="L298" s="54">
        <f>SUM('Operational Model'!S12:AD13)</f>
        <v>-2393.411245467677</v>
      </c>
    </row>
    <row r="299" spans="2:25" x14ac:dyDescent="0.3">
      <c r="C299" s="51"/>
      <c r="J299" s="54"/>
      <c r="K299" s="54"/>
      <c r="L299" s="54"/>
      <c r="P299" s="19" t="s">
        <v>174</v>
      </c>
    </row>
    <row r="300" spans="2:25" x14ac:dyDescent="0.3">
      <c r="C300" s="57" t="s">
        <v>160</v>
      </c>
      <c r="J300" s="136">
        <f>SUM('Operational Model'!G14:R14)</f>
        <v>10387.747945276691</v>
      </c>
      <c r="K300" s="136"/>
      <c r="L300" s="136">
        <f>SUM('Operational Model'!S14:AD14)</f>
        <v>13276.065330552508</v>
      </c>
      <c r="P300" s="53" t="s">
        <v>314</v>
      </c>
      <c r="Q300" s="20"/>
      <c r="T300" s="93"/>
      <c r="U300" s="93"/>
      <c r="V300" s="93"/>
      <c r="W300" s="54">
        <f ca="1">SUM('Operational Model'!G58:R58)</f>
        <v>-152.92437799011412</v>
      </c>
      <c r="X300" s="54"/>
      <c r="Y300" s="54">
        <f ca="1">SUM('Operational Model'!S58:AD58)</f>
        <v>486.35520074385323</v>
      </c>
    </row>
    <row r="301" spans="2:25" x14ac:dyDescent="0.3">
      <c r="C301" s="51" t="s">
        <v>194</v>
      </c>
      <c r="J301" s="54">
        <f>SUM('Operational Model'!G19:R19)</f>
        <v>-4323.226223514459</v>
      </c>
      <c r="K301" s="54"/>
      <c r="L301" s="54">
        <f>SUM('Operational Model'!S19:AD19)</f>
        <v>-5392.388343215368</v>
      </c>
      <c r="P301" s="53" t="s">
        <v>315</v>
      </c>
      <c r="Q301" s="20"/>
      <c r="T301" s="93"/>
      <c r="U301" s="93"/>
      <c r="V301" s="93"/>
      <c r="W301" s="54">
        <f>SUM('Operational Model'!G63:R63)</f>
        <v>-245.50374621635137</v>
      </c>
      <c r="X301" s="54"/>
      <c r="Y301" s="54">
        <f>SUM('Operational Model'!S63:AD63)</f>
        <v>-282.0505783683634</v>
      </c>
    </row>
    <row r="302" spans="2:25" x14ac:dyDescent="0.3">
      <c r="C302" s="51" t="s">
        <v>195</v>
      </c>
      <c r="J302" s="54">
        <f>SUM('Operational Model'!G20:R20)</f>
        <v>-4251.7</v>
      </c>
      <c r="K302" s="54"/>
      <c r="L302" s="54">
        <f>SUM('Operational Model'!S20:AD20)</f>
        <v>-5184.9999999999991</v>
      </c>
      <c r="P302" s="53" t="s">
        <v>171</v>
      </c>
      <c r="Q302" s="20"/>
      <c r="T302" s="93"/>
      <c r="U302" s="93"/>
      <c r="V302" s="93"/>
      <c r="W302" s="54">
        <f ca="1">SUM('Operational Model'!G69:R69)</f>
        <v>0</v>
      </c>
      <c r="X302" s="54"/>
      <c r="Y302" s="54">
        <f ca="1">SUM('Operational Model'!S69:AD69)</f>
        <v>0</v>
      </c>
    </row>
    <row r="303" spans="2:25" ht="15.75" thickBot="1" x14ac:dyDescent="0.35">
      <c r="C303" s="51" t="s">
        <v>86</v>
      </c>
      <c r="J303" s="54">
        <f>SUM('Operational Model'!G21:R21)</f>
        <v>-2718.3587310817575</v>
      </c>
      <c r="K303" s="54"/>
      <c r="L303" s="54">
        <f>SUM('Operational Model'!S21:AD21)</f>
        <v>-3146.6692801745626</v>
      </c>
    </row>
    <row r="304" spans="2:25" x14ac:dyDescent="0.3">
      <c r="C304" s="51"/>
      <c r="J304" s="54"/>
      <c r="K304" s="54"/>
      <c r="L304" s="54"/>
      <c r="P304" s="19" t="s">
        <v>296</v>
      </c>
      <c r="T304" s="93"/>
      <c r="U304" s="93"/>
      <c r="V304" s="93"/>
      <c r="W304" s="76">
        <f ca="1">'Operational Model'!R75</f>
        <v>3451.5718757935347</v>
      </c>
      <c r="X304" s="136"/>
      <c r="Y304" s="76">
        <f ca="1">'Operational Model'!AD75</f>
        <v>3655.8764981690233</v>
      </c>
    </row>
    <row r="305" spans="3:25" x14ac:dyDescent="0.3">
      <c r="C305" s="57" t="s">
        <v>162</v>
      </c>
      <c r="J305" s="136">
        <f>SUM('Operational Model'!G22:R22)</f>
        <v>-905.53700931952608</v>
      </c>
      <c r="K305" s="136"/>
      <c r="L305" s="136">
        <f>SUM('Operational Model'!S22:AD22)</f>
        <v>-447.99229283742216</v>
      </c>
      <c r="W305" s="136"/>
      <c r="X305" s="136"/>
      <c r="Y305" s="136"/>
    </row>
    <row r="306" spans="3:25" x14ac:dyDescent="0.3">
      <c r="C306" s="51" t="s">
        <v>163</v>
      </c>
      <c r="J306" s="54">
        <f>SUM('Operational Model'!G27:R27)</f>
        <v>-226.08632336324541</v>
      </c>
      <c r="K306" s="54"/>
      <c r="L306" s="54">
        <f>SUM('Operational Model'!S27:AD27)</f>
        <v>-314.12325649713591</v>
      </c>
      <c r="P306" s="20" t="s">
        <v>279</v>
      </c>
      <c r="T306" s="93"/>
      <c r="U306" s="93"/>
      <c r="V306" s="93"/>
      <c r="W306" s="54">
        <f ca="1">SUM('Operational Model'!G321:R321)</f>
        <v>-398.42812420646544</v>
      </c>
      <c r="X306" s="54"/>
      <c r="Y306" s="54">
        <f ca="1">SUM('Operational Model'!S321:AD321)</f>
        <v>204.3046223754898</v>
      </c>
    </row>
    <row r="307" spans="3:25" x14ac:dyDescent="0.3">
      <c r="C307" s="51" t="s">
        <v>321</v>
      </c>
      <c r="J307" s="54">
        <f ca="1">SUM('Operational Model'!G31:R31)</f>
        <v>93.633180356773408</v>
      </c>
      <c r="K307" s="54"/>
      <c r="L307" s="54">
        <f ca="1">SUM('Operational Model'!S31:AD31)</f>
        <v>84.822259036065532</v>
      </c>
      <c r="T307" s="93"/>
      <c r="U307" s="93"/>
      <c r="V307" s="93"/>
      <c r="W307" s="93"/>
      <c r="X307" s="93"/>
      <c r="Y307" s="93"/>
    </row>
    <row r="308" spans="3:25" x14ac:dyDescent="0.3">
      <c r="C308" s="51" t="s">
        <v>320</v>
      </c>
      <c r="J308" s="54">
        <f ca="1">SUM('Operational Model'!G35:R35)</f>
        <v>0</v>
      </c>
      <c r="K308" s="54"/>
      <c r="L308" s="54">
        <f ca="1">SUM('Operational Model'!S35:AD35)</f>
        <v>-1.9707697732040788</v>
      </c>
      <c r="T308" s="93"/>
      <c r="U308" s="93"/>
      <c r="V308" s="93"/>
      <c r="W308" s="93"/>
      <c r="X308" s="93"/>
      <c r="Y308" s="93"/>
    </row>
    <row r="309" spans="3:25" ht="15.75" thickBot="1" x14ac:dyDescent="0.35">
      <c r="C309" s="51"/>
      <c r="J309" s="54"/>
      <c r="K309" s="54"/>
      <c r="L309" s="54"/>
      <c r="T309" s="93"/>
      <c r="U309" s="93"/>
      <c r="V309" s="93"/>
      <c r="W309" s="93"/>
      <c r="X309" s="93"/>
      <c r="Y309" s="93"/>
    </row>
    <row r="310" spans="3:25" x14ac:dyDescent="0.3">
      <c r="C310" s="57" t="s">
        <v>168</v>
      </c>
      <c r="J310" s="76">
        <f ca="1">SUM('Operational Model'!G38:R38)</f>
        <v>-1037.9901523259982</v>
      </c>
      <c r="K310" s="136"/>
      <c r="L310" s="76">
        <f ca="1">SUM('Operational Model'!S38:AD38)</f>
        <v>-679.26406007169658</v>
      </c>
    </row>
    <row r="311" spans="3:25" x14ac:dyDescent="0.3">
      <c r="C311" s="57"/>
      <c r="H311" s="93"/>
      <c r="I311" s="93"/>
      <c r="J311" s="93"/>
      <c r="K311" s="93"/>
      <c r="L311" s="93"/>
    </row>
    <row r="312" spans="3:25" x14ac:dyDescent="0.3">
      <c r="C312" s="57"/>
      <c r="H312" s="93"/>
      <c r="I312" s="93"/>
      <c r="J312" s="93"/>
      <c r="K312" s="93"/>
      <c r="L312" s="93"/>
    </row>
    <row r="313" spans="3:25" x14ac:dyDescent="0.3">
      <c r="C313" s="604" t="s">
        <v>313</v>
      </c>
      <c r="D313" s="604"/>
      <c r="E313" s="604"/>
      <c r="F313" s="604"/>
      <c r="G313" s="604"/>
      <c r="H313" s="604"/>
      <c r="I313" s="604"/>
      <c r="J313" s="604"/>
      <c r="K313" s="604"/>
      <c r="L313" s="604"/>
      <c r="M313" s="80"/>
      <c r="N313" s="80"/>
      <c r="O313" s="79"/>
      <c r="T313" s="93"/>
      <c r="U313" s="93"/>
      <c r="V313" s="93"/>
      <c r="W313" s="93"/>
      <c r="X313" s="93"/>
      <c r="Y313" s="93"/>
    </row>
    <row r="314" spans="3:25" x14ac:dyDescent="0.3">
      <c r="C314" s="79"/>
      <c r="D314" s="79"/>
      <c r="E314" s="79"/>
      <c r="F314" s="79"/>
      <c r="G314" s="79"/>
      <c r="H314" s="79"/>
      <c r="I314" s="79"/>
      <c r="J314" s="79"/>
      <c r="K314" s="79"/>
      <c r="L314" s="79"/>
      <c r="M314" s="80"/>
      <c r="N314" s="80"/>
      <c r="O314" s="79"/>
      <c r="P314" s="79"/>
      <c r="Q314" s="79"/>
      <c r="R314" s="79"/>
      <c r="S314" s="79"/>
      <c r="T314" s="79"/>
      <c r="U314" s="79"/>
      <c r="V314" s="79"/>
      <c r="W314" s="79"/>
      <c r="X314" s="79"/>
      <c r="Y314" s="79"/>
    </row>
    <row r="316" spans="3:25" x14ac:dyDescent="0.3">
      <c r="J316" s="137">
        <v>2026</v>
      </c>
      <c r="K316" s="137"/>
      <c r="L316" s="137">
        <v>2027</v>
      </c>
    </row>
    <row r="317" spans="3:25" x14ac:dyDescent="0.3">
      <c r="C317" s="19" t="s">
        <v>318</v>
      </c>
    </row>
    <row r="318" spans="3:25" x14ac:dyDescent="0.3">
      <c r="C318" s="51" t="s">
        <v>316</v>
      </c>
      <c r="J318" s="54">
        <f ca="1">'Operational Model'!R93</f>
        <v>4626.8827268169925</v>
      </c>
      <c r="K318" s="54"/>
      <c r="L318" s="54">
        <f ca="1">'Operational Model'!AD93</f>
        <v>5172.506260182493</v>
      </c>
    </row>
    <row r="319" spans="3:25" x14ac:dyDescent="0.3">
      <c r="C319" s="51" t="s">
        <v>317</v>
      </c>
      <c r="J319" s="54">
        <f>'Operational Model'!R95</f>
        <v>569.41742285310602</v>
      </c>
      <c r="K319" s="54"/>
      <c r="L319" s="54">
        <f>'Operational Model'!AD95</f>
        <v>537.34474472433351</v>
      </c>
    </row>
    <row r="320" spans="3:25" ht="15.75" thickBot="1" x14ac:dyDescent="0.35">
      <c r="J320" s="54"/>
      <c r="K320" s="54"/>
      <c r="L320" s="54"/>
    </row>
    <row r="321" spans="3:12" x14ac:dyDescent="0.3">
      <c r="C321" s="52" t="s">
        <v>178</v>
      </c>
      <c r="J321" s="76">
        <f ca="1">'Operational Model'!R97</f>
        <v>5196.3001496700981</v>
      </c>
      <c r="K321" s="54"/>
      <c r="L321" s="76">
        <f ca="1">'Operational Model'!AD97</f>
        <v>5709.8510049068263</v>
      </c>
    </row>
    <row r="322" spans="3:12" x14ac:dyDescent="0.3">
      <c r="J322" s="54"/>
      <c r="K322" s="54"/>
      <c r="L322" s="54"/>
    </row>
    <row r="323" spans="3:12" x14ac:dyDescent="0.3">
      <c r="C323" s="19" t="s">
        <v>319</v>
      </c>
      <c r="J323" s="54"/>
      <c r="K323" s="54"/>
      <c r="L323" s="54"/>
    </row>
    <row r="324" spans="3:12" x14ac:dyDescent="0.3">
      <c r="C324" s="51" t="s">
        <v>182</v>
      </c>
      <c r="J324" s="54">
        <f>'Operational Model'!R105</f>
        <v>4273.2903019960959</v>
      </c>
      <c r="K324" s="54"/>
      <c r="L324" s="54">
        <f>'Operational Model'!AD105</f>
        <v>5466.1052173045218</v>
      </c>
    </row>
    <row r="325" spans="3:12" x14ac:dyDescent="0.3">
      <c r="C325" s="51" t="s">
        <v>232</v>
      </c>
      <c r="J325" s="54">
        <f ca="1">'Operational Model'!R112</f>
        <v>923.00984767400132</v>
      </c>
      <c r="K325" s="54"/>
      <c r="L325" s="54">
        <f ca="1">'Operational Model'!AD112</f>
        <v>243.74578760230543</v>
      </c>
    </row>
    <row r="326" spans="3:12" ht="15.75" thickBot="1" x14ac:dyDescent="0.35">
      <c r="J326" s="54"/>
      <c r="K326" s="54"/>
      <c r="L326" s="54"/>
    </row>
    <row r="327" spans="3:12" x14ac:dyDescent="0.3">
      <c r="C327" s="52" t="s">
        <v>186</v>
      </c>
      <c r="J327" s="76">
        <f ca="1">'Operational Model'!R115</f>
        <v>5196.3001496700972</v>
      </c>
      <c r="K327" s="54"/>
      <c r="L327" s="76">
        <f ca="1">'Operational Model'!AD115</f>
        <v>5709.8510049068273</v>
      </c>
    </row>
  </sheetData>
  <mergeCells count="25">
    <mergeCell ref="C313:L313"/>
    <mergeCell ref="C189:L189"/>
    <mergeCell ref="C223:L223"/>
    <mergeCell ref="P223:Y223"/>
    <mergeCell ref="C10:L10"/>
    <mergeCell ref="P10:Y10"/>
    <mergeCell ref="P37:Y37"/>
    <mergeCell ref="C37:L37"/>
    <mergeCell ref="C161:L161"/>
    <mergeCell ref="P161:Y161"/>
    <mergeCell ref="C133:L133"/>
    <mergeCell ref="P133:Y133"/>
    <mergeCell ref="C71:L71"/>
    <mergeCell ref="P71:Y71"/>
    <mergeCell ref="C99:L99"/>
    <mergeCell ref="P99:Y99"/>
    <mergeCell ref="P189:Y189"/>
    <mergeCell ref="C292:L292"/>
    <mergeCell ref="P292:Y292"/>
    <mergeCell ref="X228:Z229"/>
    <mergeCell ref="X231:Z232"/>
    <mergeCell ref="X237:Z238"/>
    <mergeCell ref="X240:Z241"/>
    <mergeCell ref="C257:L257"/>
    <mergeCell ref="P257:Y257"/>
  </mergeCells>
  <pageMargins left="0.7" right="0.7" top="0.75" bottom="0.75" header="0.3" footer="0.3"/>
  <pageSetup paperSize="9" orientation="portrait" horizontalDpi="300" verticalDpi="3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Drop Down 1">
              <controlPr defaultSize="0" autoLine="0" autoPict="0">
                <anchor moveWithCells="1">
                  <from>
                    <xdr:col>2</xdr:col>
                    <xdr:colOff>542925</xdr:colOff>
                    <xdr:row>6</xdr:row>
                    <xdr:rowOff>0</xdr:rowOff>
                  </from>
                  <to>
                    <xdr:col>5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A3E9ED43-1E0F-476C-A3B9-62EBB743172B}">
          <x14:colorSeries theme="4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'Executive Dashboard'!AF233:AM233</xm:f>
              <xm:sqref>X228</xm:sqref>
            </x14:sparkline>
          </x14:sparklines>
        </x14:sparklineGroup>
        <x14:sparklineGroup displayEmptyCellsAs="gap" markers="1" xr2:uid="{E304D0BA-8C5F-4F62-8D86-A41FC88344BD}">
          <x14:colorSeries theme="4"/>
          <x14:colorNegative rgb="FFD00000"/>
          <x14:colorAxis rgb="FF000000"/>
          <x14:colorMarkers theme="4"/>
          <x14:colorFirst rgb="FFD00000"/>
          <x14:colorLast rgb="FFD00000"/>
          <x14:colorHigh rgb="FFD00000"/>
          <x14:colorLow rgb="FFD00000"/>
          <x14:sparklines>
            <x14:sparkline>
              <xm:f>'Executive Dashboard'!AF233:AM233</xm:f>
              <xm:sqref>X231</xm:sqref>
            </x14:sparkline>
          </x14:sparklines>
        </x14:sparklineGroup>
        <x14:sparklineGroup type="column" displayEmptyCellsAs="gap" xr2:uid="{1B84FB6A-10EB-4F86-B16B-5A249CF1F501}">
          <x14:colorSeries theme="4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'Executive Dashboard'!AF234:AM234</xm:f>
              <xm:sqref>X237</xm:sqref>
            </x14:sparkline>
          </x14:sparklines>
        </x14:sparklineGroup>
        <x14:sparklineGroup displayEmptyCellsAs="gap" markers="1" negative="1" xr2:uid="{08AB43D1-7AFE-47CA-9F53-33AD743896B8}">
          <x14:colorSeries theme="4"/>
          <x14:colorNegative rgb="FF3271D2"/>
          <x14:colorAxis rgb="FF000000"/>
          <x14:colorMarkers theme="4"/>
          <x14:colorFirst rgb="FFD00000"/>
          <x14:colorLast rgb="FFD00000"/>
          <x14:colorHigh rgb="FFD00000"/>
          <x14:colorLow rgb="FFD00000"/>
          <x14:sparklines>
            <x14:sparkline>
              <xm:f>'Executive Dashboard'!AF234:AM234</xm:f>
              <xm:sqref>X240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29547-4BE4-49DA-847C-CF2303C21208}">
  <sheetPr>
    <pageSetUpPr autoPageBreaks="0"/>
  </sheetPr>
  <dimension ref="A1:AD212"/>
  <sheetViews>
    <sheetView showGridLines="0" zoomScaleNormal="100" workbookViewId="0">
      <selection activeCell="E213" sqref="E213"/>
    </sheetView>
  </sheetViews>
  <sheetFormatPr defaultRowHeight="15" customHeight="1" x14ac:dyDescent="0.3"/>
  <cols>
    <col min="1" max="1" width="5.7109375" style="149" customWidth="1"/>
    <col min="2" max="2" width="20" style="149" customWidth="1"/>
    <col min="3" max="3" width="9.140625" style="149"/>
    <col min="4" max="4" width="10.140625" style="149" customWidth="1"/>
    <col min="5" max="5" width="11.140625" style="149" customWidth="1"/>
    <col min="6" max="6" width="9.140625" style="149" bestFit="1" customWidth="1"/>
    <col min="7" max="20" width="9.140625" style="149"/>
    <col min="21" max="21" width="9.140625" style="149" customWidth="1"/>
    <col min="22" max="22" width="9.7109375" style="149" customWidth="1"/>
    <col min="23" max="16384" width="9.140625" style="149"/>
  </cols>
  <sheetData>
    <row r="1" spans="1:29" ht="57.75" customHeight="1" x14ac:dyDescent="0.3">
      <c r="B1" s="150" t="s">
        <v>370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</row>
    <row r="3" spans="1:29" ht="15" customHeight="1" x14ac:dyDescent="0.3">
      <c r="A3" s="149" t="s">
        <v>33</v>
      </c>
      <c r="B3" s="152" t="s">
        <v>28</v>
      </c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  <c r="P3" s="153"/>
      <c r="Q3" s="153"/>
      <c r="R3" s="153"/>
      <c r="S3" s="153"/>
      <c r="T3" s="153"/>
      <c r="U3" s="153"/>
      <c r="V3" s="153"/>
      <c r="W3" s="153"/>
      <c r="X3" s="153"/>
      <c r="Y3" s="153"/>
      <c r="Z3" s="153"/>
      <c r="AA3" s="153"/>
      <c r="AB3" s="153"/>
      <c r="AC3" s="153"/>
    </row>
    <row r="4" spans="1:29" ht="15" customHeight="1" x14ac:dyDescent="0.4">
      <c r="B4" s="154"/>
    </row>
    <row r="5" spans="1:29" ht="15" customHeight="1" x14ac:dyDescent="0.3">
      <c r="B5" s="155" t="s">
        <v>24</v>
      </c>
    </row>
    <row r="7" spans="1:29" ht="15" customHeight="1" x14ac:dyDescent="0.3">
      <c r="F7" s="156">
        <f>YEAR(F9)</f>
        <v>2026</v>
      </c>
      <c r="G7" s="157">
        <f t="shared" ref="G7:AC7" si="0">YEAR(G9)</f>
        <v>2026</v>
      </c>
      <c r="H7" s="158">
        <f t="shared" si="0"/>
        <v>2026</v>
      </c>
      <c r="I7" s="157">
        <f t="shared" si="0"/>
        <v>2026</v>
      </c>
      <c r="J7" s="157">
        <f t="shared" si="0"/>
        <v>2026</v>
      </c>
      <c r="K7" s="158">
        <f t="shared" si="0"/>
        <v>2026</v>
      </c>
      <c r="L7" s="157">
        <f t="shared" si="0"/>
        <v>2026</v>
      </c>
      <c r="M7" s="157">
        <f t="shared" si="0"/>
        <v>2026</v>
      </c>
      <c r="N7" s="158">
        <f t="shared" si="0"/>
        <v>2026</v>
      </c>
      <c r="O7" s="157">
        <f t="shared" si="0"/>
        <v>2026</v>
      </c>
      <c r="P7" s="157">
        <f t="shared" si="0"/>
        <v>2026</v>
      </c>
      <c r="Q7" s="159">
        <f t="shared" si="0"/>
        <v>2026</v>
      </c>
      <c r="R7" s="157">
        <f t="shared" si="0"/>
        <v>2027</v>
      </c>
      <c r="S7" s="157">
        <f t="shared" si="0"/>
        <v>2027</v>
      </c>
      <c r="T7" s="158">
        <f t="shared" si="0"/>
        <v>2027</v>
      </c>
      <c r="U7" s="157">
        <f t="shared" si="0"/>
        <v>2027</v>
      </c>
      <c r="V7" s="157">
        <f t="shared" si="0"/>
        <v>2027</v>
      </c>
      <c r="W7" s="158">
        <f t="shared" si="0"/>
        <v>2027</v>
      </c>
      <c r="X7" s="157">
        <f t="shared" si="0"/>
        <v>2027</v>
      </c>
      <c r="Y7" s="157">
        <f t="shared" si="0"/>
        <v>2027</v>
      </c>
      <c r="Z7" s="158">
        <f t="shared" si="0"/>
        <v>2027</v>
      </c>
      <c r="AA7" s="157">
        <f t="shared" si="0"/>
        <v>2027</v>
      </c>
      <c r="AB7" s="157">
        <f t="shared" si="0"/>
        <v>2027</v>
      </c>
      <c r="AC7" s="159">
        <f t="shared" si="0"/>
        <v>2027</v>
      </c>
    </row>
    <row r="8" spans="1:29" ht="15" customHeight="1" x14ac:dyDescent="0.3">
      <c r="B8" s="160" t="s">
        <v>32</v>
      </c>
      <c r="D8" s="149">
        <v>2</v>
      </c>
      <c r="F8" s="161">
        <f>CHOOSE(MONTH(F9),1,1,1,2,2,2,3,3,3,4,4,4)</f>
        <v>1</v>
      </c>
      <c r="G8" s="162">
        <f t="shared" ref="G8:AC8" si="1">CHOOSE(MONTH(G9),1,1,1,2,2,2,3,3,3,4,4,4)</f>
        <v>1</v>
      </c>
      <c r="H8" s="163">
        <f t="shared" si="1"/>
        <v>1</v>
      </c>
      <c r="I8" s="162">
        <f t="shared" si="1"/>
        <v>2</v>
      </c>
      <c r="J8" s="162">
        <f t="shared" si="1"/>
        <v>2</v>
      </c>
      <c r="K8" s="163">
        <f t="shared" si="1"/>
        <v>2</v>
      </c>
      <c r="L8" s="162">
        <f t="shared" si="1"/>
        <v>3</v>
      </c>
      <c r="M8" s="162">
        <f t="shared" si="1"/>
        <v>3</v>
      </c>
      <c r="N8" s="163">
        <f t="shared" si="1"/>
        <v>3</v>
      </c>
      <c r="O8" s="162">
        <f t="shared" si="1"/>
        <v>4</v>
      </c>
      <c r="P8" s="162">
        <f t="shared" si="1"/>
        <v>4</v>
      </c>
      <c r="Q8" s="164">
        <f t="shared" si="1"/>
        <v>4</v>
      </c>
      <c r="R8" s="162">
        <f t="shared" si="1"/>
        <v>1</v>
      </c>
      <c r="S8" s="162">
        <f t="shared" si="1"/>
        <v>1</v>
      </c>
      <c r="T8" s="163">
        <f t="shared" si="1"/>
        <v>1</v>
      </c>
      <c r="U8" s="162">
        <f t="shared" si="1"/>
        <v>2</v>
      </c>
      <c r="V8" s="162">
        <f t="shared" si="1"/>
        <v>2</v>
      </c>
      <c r="W8" s="163">
        <f t="shared" si="1"/>
        <v>2</v>
      </c>
      <c r="X8" s="162">
        <f t="shared" si="1"/>
        <v>3</v>
      </c>
      <c r="Y8" s="162">
        <f t="shared" si="1"/>
        <v>3</v>
      </c>
      <c r="Z8" s="163">
        <f t="shared" si="1"/>
        <v>3</v>
      </c>
      <c r="AA8" s="162">
        <f t="shared" si="1"/>
        <v>4</v>
      </c>
      <c r="AB8" s="162">
        <f t="shared" si="1"/>
        <v>4</v>
      </c>
      <c r="AC8" s="164">
        <f t="shared" si="1"/>
        <v>4</v>
      </c>
    </row>
    <row r="9" spans="1:29" ht="15" customHeight="1" x14ac:dyDescent="0.3">
      <c r="B9" s="165"/>
      <c r="F9" s="166">
        <f>E203</f>
        <v>46053</v>
      </c>
      <c r="G9" s="167">
        <f>EOMONTH(F9,1)</f>
        <v>46081</v>
      </c>
      <c r="H9" s="168">
        <f t="shared" ref="H9:AC9" si="2">EOMONTH(G9,1)</f>
        <v>46112</v>
      </c>
      <c r="I9" s="167">
        <f t="shared" si="2"/>
        <v>46142</v>
      </c>
      <c r="J9" s="167">
        <f t="shared" si="2"/>
        <v>46173</v>
      </c>
      <c r="K9" s="168">
        <f t="shared" si="2"/>
        <v>46203</v>
      </c>
      <c r="L9" s="167">
        <f t="shared" si="2"/>
        <v>46234</v>
      </c>
      <c r="M9" s="167">
        <f t="shared" si="2"/>
        <v>46265</v>
      </c>
      <c r="N9" s="168">
        <f t="shared" si="2"/>
        <v>46295</v>
      </c>
      <c r="O9" s="167">
        <f t="shared" si="2"/>
        <v>46326</v>
      </c>
      <c r="P9" s="167">
        <f t="shared" si="2"/>
        <v>46356</v>
      </c>
      <c r="Q9" s="169">
        <f t="shared" si="2"/>
        <v>46387</v>
      </c>
      <c r="R9" s="167">
        <f t="shared" si="2"/>
        <v>46418</v>
      </c>
      <c r="S9" s="167">
        <f t="shared" si="2"/>
        <v>46446</v>
      </c>
      <c r="T9" s="168">
        <f t="shared" si="2"/>
        <v>46477</v>
      </c>
      <c r="U9" s="167">
        <f t="shared" si="2"/>
        <v>46507</v>
      </c>
      <c r="V9" s="167">
        <f t="shared" si="2"/>
        <v>46538</v>
      </c>
      <c r="W9" s="168">
        <f t="shared" si="2"/>
        <v>46568</v>
      </c>
      <c r="X9" s="167">
        <f t="shared" si="2"/>
        <v>46599</v>
      </c>
      <c r="Y9" s="167">
        <f t="shared" si="2"/>
        <v>46630</v>
      </c>
      <c r="Z9" s="168">
        <f t="shared" si="2"/>
        <v>46660</v>
      </c>
      <c r="AA9" s="167">
        <f t="shared" si="2"/>
        <v>46691</v>
      </c>
      <c r="AB9" s="167">
        <f t="shared" si="2"/>
        <v>46721</v>
      </c>
      <c r="AC9" s="169">
        <f t="shared" si="2"/>
        <v>46752</v>
      </c>
    </row>
    <row r="10" spans="1:29" ht="15" customHeight="1" x14ac:dyDescent="0.3">
      <c r="B10" s="165"/>
    </row>
    <row r="11" spans="1:29" ht="15" customHeight="1" x14ac:dyDescent="0.3">
      <c r="B11" s="170" t="s">
        <v>5</v>
      </c>
      <c r="C11" s="171"/>
      <c r="D11" s="171"/>
      <c r="E11" s="171"/>
      <c r="F11" s="172"/>
      <c r="G11" s="172"/>
      <c r="I11" s="172"/>
    </row>
    <row r="12" spans="1:29" ht="15" customHeight="1" x14ac:dyDescent="0.3">
      <c r="B12" s="173"/>
    </row>
    <row r="13" spans="1:29" ht="15" customHeight="1" x14ac:dyDescent="0.3">
      <c r="B13" s="174" t="s">
        <v>4</v>
      </c>
      <c r="F13" s="175" cm="1">
        <f t="array" ref="F13">INDEX(F15:F17,$D$8)+'Operational Model'!$Q$547</f>
        <v>0.03</v>
      </c>
      <c r="G13" s="176" cm="1">
        <f t="array" ref="G13">INDEX(G15:G17,$D$8)+'Operational Model'!$Q$547</f>
        <v>0.03</v>
      </c>
      <c r="H13" s="176" cm="1">
        <f t="array" ref="H13">INDEX(H15:H17,$D$8)+'Operational Model'!$Q$547</f>
        <v>0.03</v>
      </c>
      <c r="I13" s="176" cm="1">
        <f t="array" ref="I13">INDEX(I15:I17,$D$8)+'Operational Model'!$Q$547</f>
        <v>0.03</v>
      </c>
      <c r="J13" s="176" cm="1">
        <f t="array" ref="J13">INDEX(J15:J17,$D$8)+'Operational Model'!$Q$547</f>
        <v>0.03</v>
      </c>
      <c r="K13" s="176" cm="1">
        <f t="array" ref="K13">INDEX(K15:K17,$D$8)+'Operational Model'!$Q$547</f>
        <v>0.03</v>
      </c>
      <c r="L13" s="176" cm="1">
        <f t="array" ref="L13">INDEX(L15:L17,$D$8)+'Operational Model'!$Q$547</f>
        <v>0.03</v>
      </c>
      <c r="M13" s="176" cm="1">
        <f t="array" ref="M13">INDEX(M15:M17,$D$8)+'Operational Model'!$Q$547</f>
        <v>0.03</v>
      </c>
      <c r="N13" s="176" cm="1">
        <f t="array" ref="N13">INDEX(N15:N17,$D$8)+'Operational Model'!$Q$547</f>
        <v>0.03</v>
      </c>
      <c r="O13" s="176" cm="1">
        <f t="array" ref="O13">INDEX(O15:O17,$D$8)+'Operational Model'!$Q$547</f>
        <v>0.03</v>
      </c>
      <c r="P13" s="176" cm="1">
        <f t="array" ref="P13">INDEX(P15:P17,$D$8)+'Operational Model'!$Q$547</f>
        <v>0.03</v>
      </c>
      <c r="Q13" s="176" cm="1">
        <f t="array" ref="Q13">INDEX(Q15:Q17,$D$8)+'Operational Model'!$Q$547</f>
        <v>0.03</v>
      </c>
      <c r="R13" s="176" cm="1">
        <f t="array" ref="R13">INDEX(R15:R17,$D$8)+'Operational Model'!$Q$547</f>
        <v>2.5000000000000001E-2</v>
      </c>
      <c r="S13" s="176" cm="1">
        <f t="array" ref="S13">INDEX(S15:S17,$D$8)+'Operational Model'!$Q$547</f>
        <v>2.5000000000000001E-2</v>
      </c>
      <c r="T13" s="176" cm="1">
        <f t="array" ref="T13">INDEX(T15:T17,$D$8)+'Operational Model'!$Q$547</f>
        <v>2.5000000000000001E-2</v>
      </c>
      <c r="U13" s="176" cm="1">
        <f t="array" ref="U13">INDEX(U15:U17,$D$8)+'Operational Model'!$Q$547</f>
        <v>2.5000000000000001E-2</v>
      </c>
      <c r="V13" s="176" cm="1">
        <f t="array" ref="V13">INDEX(V15:V17,$D$8)+'Operational Model'!$Q$547</f>
        <v>2.5000000000000001E-2</v>
      </c>
      <c r="W13" s="176" cm="1">
        <f t="array" ref="W13">INDEX(W15:W17,$D$8)+'Operational Model'!$Q$547</f>
        <v>2.5000000000000001E-2</v>
      </c>
      <c r="X13" s="176" cm="1">
        <f t="array" ref="X13">INDEX(X15:X17,$D$8)+'Operational Model'!$Q$547</f>
        <v>2.5000000000000001E-2</v>
      </c>
      <c r="Y13" s="176" cm="1">
        <f t="array" ref="Y13">INDEX(Y15:Y17,$D$8)+'Operational Model'!$Q$547</f>
        <v>2.5000000000000001E-2</v>
      </c>
      <c r="Z13" s="176" cm="1">
        <f t="array" ref="Z13">INDEX(Z15:Z17,$D$8)+'Operational Model'!$Q$547</f>
        <v>2.5000000000000001E-2</v>
      </c>
      <c r="AA13" s="176" cm="1">
        <f t="array" ref="AA13">INDEX(AA15:AA17,$D$8)+'Operational Model'!$Q$547</f>
        <v>2.5000000000000001E-2</v>
      </c>
      <c r="AB13" s="176" cm="1">
        <f t="array" ref="AB13">INDEX(AB15:AB17,$D$8)+'Operational Model'!$Q$547</f>
        <v>2.5000000000000001E-2</v>
      </c>
      <c r="AC13" s="177" cm="1">
        <f t="array" ref="AC13">INDEX(AC15:AC17,$D$8)+'Operational Model'!$Q$547</f>
        <v>2.5000000000000001E-2</v>
      </c>
    </row>
    <row r="14" spans="1:29" ht="15" customHeight="1" x14ac:dyDescent="0.3">
      <c r="B14" s="174"/>
      <c r="F14" s="178"/>
      <c r="G14" s="178"/>
      <c r="H14" s="178"/>
      <c r="I14" s="179"/>
      <c r="J14" s="178"/>
      <c r="K14" s="178"/>
      <c r="L14" s="178"/>
      <c r="M14" s="178"/>
      <c r="N14" s="178"/>
      <c r="O14" s="178"/>
      <c r="P14" s="178"/>
      <c r="Q14" s="178"/>
      <c r="R14" s="178"/>
      <c r="S14" s="178"/>
      <c r="T14" s="178"/>
      <c r="U14" s="178"/>
      <c r="V14" s="178"/>
      <c r="W14" s="178"/>
      <c r="X14" s="178"/>
      <c r="Y14" s="178"/>
      <c r="Z14" s="178"/>
      <c r="AA14" s="178"/>
      <c r="AB14" s="178"/>
      <c r="AC14" s="178"/>
    </row>
    <row r="15" spans="1:29" ht="15" customHeight="1" x14ac:dyDescent="0.3">
      <c r="B15" s="180" t="s">
        <v>29</v>
      </c>
      <c r="F15" s="181">
        <v>0.05</v>
      </c>
      <c r="G15" s="182">
        <v>0.05</v>
      </c>
      <c r="H15" s="182">
        <v>0.05</v>
      </c>
      <c r="I15" s="182">
        <v>0.05</v>
      </c>
      <c r="J15" s="182">
        <v>0.05</v>
      </c>
      <c r="K15" s="182">
        <v>0.05</v>
      </c>
      <c r="L15" s="182">
        <v>0.05</v>
      </c>
      <c r="M15" s="182">
        <v>0.05</v>
      </c>
      <c r="N15" s="182">
        <v>0.05</v>
      </c>
      <c r="O15" s="182">
        <v>0.05</v>
      </c>
      <c r="P15" s="182">
        <v>0.05</v>
      </c>
      <c r="Q15" s="182">
        <v>0.05</v>
      </c>
      <c r="R15" s="182">
        <v>0.04</v>
      </c>
      <c r="S15" s="182">
        <v>0.04</v>
      </c>
      <c r="T15" s="182">
        <v>0.04</v>
      </c>
      <c r="U15" s="182">
        <v>0.04</v>
      </c>
      <c r="V15" s="182">
        <v>0.04</v>
      </c>
      <c r="W15" s="182">
        <v>0.04</v>
      </c>
      <c r="X15" s="182">
        <v>0.04</v>
      </c>
      <c r="Y15" s="182">
        <v>0.04</v>
      </c>
      <c r="Z15" s="182">
        <v>0.04</v>
      </c>
      <c r="AA15" s="182">
        <v>0.04</v>
      </c>
      <c r="AB15" s="182">
        <v>0.04</v>
      </c>
      <c r="AC15" s="183">
        <v>0.04</v>
      </c>
    </row>
    <row r="16" spans="1:29" ht="15" customHeight="1" x14ac:dyDescent="0.3">
      <c r="B16" s="180" t="s">
        <v>30</v>
      </c>
      <c r="F16" s="184">
        <v>0.03</v>
      </c>
      <c r="G16" s="185">
        <v>0.03</v>
      </c>
      <c r="H16" s="185">
        <v>0.03</v>
      </c>
      <c r="I16" s="185">
        <v>0.03</v>
      </c>
      <c r="J16" s="185">
        <v>0.03</v>
      </c>
      <c r="K16" s="185">
        <v>0.03</v>
      </c>
      <c r="L16" s="185">
        <v>0.03</v>
      </c>
      <c r="M16" s="185">
        <v>0.03</v>
      </c>
      <c r="N16" s="185">
        <v>0.03</v>
      </c>
      <c r="O16" s="185">
        <v>0.03</v>
      </c>
      <c r="P16" s="185">
        <v>0.03</v>
      </c>
      <c r="Q16" s="185">
        <v>0.03</v>
      </c>
      <c r="R16" s="185">
        <v>2.5000000000000001E-2</v>
      </c>
      <c r="S16" s="185">
        <v>2.5000000000000001E-2</v>
      </c>
      <c r="T16" s="185">
        <v>2.5000000000000001E-2</v>
      </c>
      <c r="U16" s="185">
        <v>2.5000000000000001E-2</v>
      </c>
      <c r="V16" s="185">
        <v>2.5000000000000001E-2</v>
      </c>
      <c r="W16" s="185">
        <v>2.5000000000000001E-2</v>
      </c>
      <c r="X16" s="185">
        <v>2.5000000000000001E-2</v>
      </c>
      <c r="Y16" s="185">
        <v>2.5000000000000001E-2</v>
      </c>
      <c r="Z16" s="185">
        <v>2.5000000000000001E-2</v>
      </c>
      <c r="AA16" s="185">
        <v>2.5000000000000001E-2</v>
      </c>
      <c r="AB16" s="185">
        <v>2.5000000000000001E-2</v>
      </c>
      <c r="AC16" s="186">
        <v>2.5000000000000001E-2</v>
      </c>
    </row>
    <row r="17" spans="2:29" ht="15" customHeight="1" x14ac:dyDescent="0.3">
      <c r="B17" s="180" t="s">
        <v>31</v>
      </c>
      <c r="F17" s="187">
        <v>0.01</v>
      </c>
      <c r="G17" s="188">
        <v>0.01</v>
      </c>
      <c r="H17" s="188">
        <v>0.01</v>
      </c>
      <c r="I17" s="188">
        <v>0.01</v>
      </c>
      <c r="J17" s="188">
        <v>0.01</v>
      </c>
      <c r="K17" s="188">
        <v>0.01</v>
      </c>
      <c r="L17" s="188">
        <v>0.01</v>
      </c>
      <c r="M17" s="188">
        <v>0.01</v>
      </c>
      <c r="N17" s="188">
        <v>0.01</v>
      </c>
      <c r="O17" s="188">
        <v>0.01</v>
      </c>
      <c r="P17" s="188">
        <v>0.01</v>
      </c>
      <c r="Q17" s="188">
        <v>0.01</v>
      </c>
      <c r="R17" s="188">
        <v>5.0000000000000001E-3</v>
      </c>
      <c r="S17" s="188">
        <v>5.0000000000000001E-3</v>
      </c>
      <c r="T17" s="188">
        <v>5.0000000000000001E-3</v>
      </c>
      <c r="U17" s="188">
        <v>5.0000000000000001E-3</v>
      </c>
      <c r="V17" s="188">
        <v>5.0000000000000001E-3</v>
      </c>
      <c r="W17" s="188">
        <v>5.0000000000000001E-3</v>
      </c>
      <c r="X17" s="188">
        <v>5.0000000000000001E-3</v>
      </c>
      <c r="Y17" s="188">
        <v>5.0000000000000001E-3</v>
      </c>
      <c r="Z17" s="188">
        <v>5.0000000000000001E-3</v>
      </c>
      <c r="AA17" s="188">
        <v>5.0000000000000001E-3</v>
      </c>
      <c r="AB17" s="188">
        <v>5.0000000000000001E-3</v>
      </c>
      <c r="AC17" s="189">
        <v>5.0000000000000001E-3</v>
      </c>
    </row>
    <row r="18" spans="2:29" ht="15" customHeight="1" x14ac:dyDescent="0.3">
      <c r="B18" s="174"/>
      <c r="F18" s="178"/>
      <c r="G18" s="178"/>
      <c r="H18" s="178"/>
      <c r="I18" s="179"/>
      <c r="J18" s="178"/>
      <c r="K18" s="178"/>
      <c r="L18" s="178"/>
      <c r="M18" s="178"/>
      <c r="N18" s="178"/>
      <c r="O18" s="178"/>
      <c r="P18" s="178"/>
      <c r="Q18" s="178"/>
      <c r="R18" s="178"/>
      <c r="S18" s="178"/>
      <c r="T18" s="178"/>
      <c r="U18" s="178"/>
      <c r="V18" s="178"/>
      <c r="W18" s="178"/>
      <c r="X18" s="178"/>
      <c r="Y18" s="178"/>
      <c r="Z18" s="178"/>
      <c r="AA18" s="178"/>
      <c r="AB18" s="178"/>
      <c r="AC18" s="178"/>
    </row>
    <row r="19" spans="2:29" ht="15" customHeight="1" x14ac:dyDescent="0.3">
      <c r="B19" s="174" t="s">
        <v>2</v>
      </c>
      <c r="F19" s="175" cm="1">
        <f t="array" ref="F19">INDEX(F21:F23,$D$8)+'Operational Model'!$Q$548</f>
        <v>0.04</v>
      </c>
      <c r="G19" s="176" cm="1">
        <f t="array" ref="G19">INDEX(G21:G23,$D$8)+'Operational Model'!$Q$548</f>
        <v>0.04</v>
      </c>
      <c r="H19" s="176" cm="1">
        <f t="array" ref="H19">INDEX(H21:H23,$D$8)+'Operational Model'!$Q$548</f>
        <v>0.04</v>
      </c>
      <c r="I19" s="176" cm="1">
        <f t="array" ref="I19">INDEX(I21:I23,$D$8)+'Operational Model'!$Q$548</f>
        <v>0.04</v>
      </c>
      <c r="J19" s="176" cm="1">
        <f t="array" ref="J19">INDEX(J21:J23,$D$8)+'Operational Model'!$Q$548</f>
        <v>0.04</v>
      </c>
      <c r="K19" s="176" cm="1">
        <f t="array" ref="K19">INDEX(K21:K23,$D$8)+'Operational Model'!$Q$548</f>
        <v>0.04</v>
      </c>
      <c r="L19" s="176" cm="1">
        <f t="array" ref="L19">INDEX(L21:L23,$D$8)+'Operational Model'!$Q$548</f>
        <v>0.04</v>
      </c>
      <c r="M19" s="176" cm="1">
        <f t="array" ref="M19">INDEX(M21:M23,$D$8)+'Operational Model'!$Q$548</f>
        <v>0.04</v>
      </c>
      <c r="N19" s="176" cm="1">
        <f t="array" ref="N19">INDEX(N21:N23,$D$8)+'Operational Model'!$Q$548</f>
        <v>0.04</v>
      </c>
      <c r="O19" s="176" cm="1">
        <f t="array" ref="O19">INDEX(O21:O23,$D$8)+'Operational Model'!$Q$548</f>
        <v>0.04</v>
      </c>
      <c r="P19" s="176" cm="1">
        <f t="array" ref="P19">INDEX(P21:P23,$D$8)+'Operational Model'!$Q$548</f>
        <v>0.04</v>
      </c>
      <c r="Q19" s="176" cm="1">
        <f t="array" ref="Q19">INDEX(Q21:Q23,$D$8)+'Operational Model'!$Q$548</f>
        <v>0.04</v>
      </c>
      <c r="R19" s="176" cm="1">
        <f t="array" ref="R19">INDEX(R21:R23,$D$8)+'Operational Model'!$Q$548</f>
        <v>4.2000000000000003E-2</v>
      </c>
      <c r="S19" s="176" cm="1">
        <f t="array" ref="S19">INDEX(S21:S23,$D$8)+'Operational Model'!$Q$548</f>
        <v>4.2000000000000003E-2</v>
      </c>
      <c r="T19" s="176" cm="1">
        <f t="array" ref="T19">INDEX(T21:T23,$D$8)+'Operational Model'!$Q$548</f>
        <v>4.2000000000000003E-2</v>
      </c>
      <c r="U19" s="176" cm="1">
        <f t="array" ref="U19">INDEX(U21:U23,$D$8)+'Operational Model'!$Q$548</f>
        <v>4.2000000000000003E-2</v>
      </c>
      <c r="V19" s="176" cm="1">
        <f t="array" ref="V19">INDEX(V21:V23,$D$8)+'Operational Model'!$Q$548</f>
        <v>4.2000000000000003E-2</v>
      </c>
      <c r="W19" s="176" cm="1">
        <f t="array" ref="W19">INDEX(W21:W23,$D$8)+'Operational Model'!$Q$548</f>
        <v>4.2000000000000003E-2</v>
      </c>
      <c r="X19" s="176" cm="1">
        <f t="array" ref="X19">INDEX(X21:X23,$D$8)+'Operational Model'!$Q$548</f>
        <v>4.2000000000000003E-2</v>
      </c>
      <c r="Y19" s="176" cm="1">
        <f t="array" ref="Y19">INDEX(Y21:Y23,$D$8)+'Operational Model'!$Q$548</f>
        <v>4.2000000000000003E-2</v>
      </c>
      <c r="Z19" s="176" cm="1">
        <f t="array" ref="Z19">INDEX(Z21:Z23,$D$8)+'Operational Model'!$Q$548</f>
        <v>4.2000000000000003E-2</v>
      </c>
      <c r="AA19" s="176" cm="1">
        <f t="array" ref="AA19">INDEX(AA21:AA23,$D$8)+'Operational Model'!$Q$548</f>
        <v>4.2000000000000003E-2</v>
      </c>
      <c r="AB19" s="176" cm="1">
        <f t="array" ref="AB19">INDEX(AB21:AB23,$D$8)+'Operational Model'!$Q$548</f>
        <v>4.2000000000000003E-2</v>
      </c>
      <c r="AC19" s="177" cm="1">
        <f t="array" ref="AC19">INDEX(AC21:AC23,$D$8)+'Operational Model'!$Q$548</f>
        <v>4.2000000000000003E-2</v>
      </c>
    </row>
    <row r="20" spans="2:29" ht="15" customHeight="1" x14ac:dyDescent="0.3">
      <c r="B20" s="174"/>
      <c r="F20" s="178"/>
      <c r="G20" s="178"/>
      <c r="H20" s="178"/>
      <c r="I20" s="179"/>
      <c r="J20" s="178"/>
      <c r="K20" s="178"/>
      <c r="L20" s="178"/>
      <c r="M20" s="178"/>
      <c r="N20" s="178"/>
      <c r="O20" s="178"/>
      <c r="P20" s="178"/>
      <c r="Q20" s="178"/>
      <c r="R20" s="178"/>
      <c r="S20" s="178"/>
      <c r="T20" s="178"/>
      <c r="U20" s="178"/>
      <c r="V20" s="178"/>
      <c r="W20" s="178"/>
      <c r="X20" s="178"/>
      <c r="Y20" s="178"/>
      <c r="Z20" s="178"/>
      <c r="AA20" s="178"/>
      <c r="AB20" s="178"/>
      <c r="AC20" s="178"/>
    </row>
    <row r="21" spans="2:29" ht="15" customHeight="1" x14ac:dyDescent="0.3">
      <c r="B21" s="190" t="str">
        <f>$B$15</f>
        <v>Best Case</v>
      </c>
      <c r="F21" s="181">
        <v>0.05</v>
      </c>
      <c r="G21" s="182">
        <v>0.05</v>
      </c>
      <c r="H21" s="182">
        <v>0.05</v>
      </c>
      <c r="I21" s="182">
        <v>0.05</v>
      </c>
      <c r="J21" s="182">
        <v>0.05</v>
      </c>
      <c r="K21" s="182">
        <v>0.05</v>
      </c>
      <c r="L21" s="182">
        <v>0.05</v>
      </c>
      <c r="M21" s="182">
        <v>0.05</v>
      </c>
      <c r="N21" s="182">
        <v>0.05</v>
      </c>
      <c r="O21" s="182">
        <v>0.05</v>
      </c>
      <c r="P21" s="182">
        <v>0.05</v>
      </c>
      <c r="Q21" s="182">
        <v>0.05</v>
      </c>
      <c r="R21" s="182">
        <v>5.5E-2</v>
      </c>
      <c r="S21" s="182">
        <v>5.5E-2</v>
      </c>
      <c r="T21" s="182">
        <v>5.5E-2</v>
      </c>
      <c r="U21" s="182">
        <v>5.5E-2</v>
      </c>
      <c r="V21" s="182">
        <v>5.5E-2</v>
      </c>
      <c r="W21" s="182">
        <v>5.5E-2</v>
      </c>
      <c r="X21" s="182">
        <v>5.5E-2</v>
      </c>
      <c r="Y21" s="182">
        <v>5.5E-2</v>
      </c>
      <c r="Z21" s="182">
        <v>5.5E-2</v>
      </c>
      <c r="AA21" s="182">
        <v>5.5E-2</v>
      </c>
      <c r="AB21" s="182">
        <v>5.5E-2</v>
      </c>
      <c r="AC21" s="183">
        <v>5.5E-2</v>
      </c>
    </row>
    <row r="22" spans="2:29" ht="15" customHeight="1" x14ac:dyDescent="0.3">
      <c r="B22" s="191" t="str">
        <f>$B$16</f>
        <v>Base Case</v>
      </c>
      <c r="F22" s="184">
        <v>0.04</v>
      </c>
      <c r="G22" s="185">
        <v>0.04</v>
      </c>
      <c r="H22" s="185">
        <v>0.04</v>
      </c>
      <c r="I22" s="185">
        <v>0.04</v>
      </c>
      <c r="J22" s="185">
        <v>0.04</v>
      </c>
      <c r="K22" s="185">
        <v>0.04</v>
      </c>
      <c r="L22" s="185">
        <v>0.04</v>
      </c>
      <c r="M22" s="185">
        <v>0.04</v>
      </c>
      <c r="N22" s="185">
        <v>0.04</v>
      </c>
      <c r="O22" s="185">
        <v>0.04</v>
      </c>
      <c r="P22" s="185">
        <v>0.04</v>
      </c>
      <c r="Q22" s="185">
        <v>0.04</v>
      </c>
      <c r="R22" s="185">
        <v>4.2000000000000003E-2</v>
      </c>
      <c r="S22" s="185">
        <v>4.2000000000000003E-2</v>
      </c>
      <c r="T22" s="185">
        <v>4.2000000000000003E-2</v>
      </c>
      <c r="U22" s="185">
        <v>4.2000000000000003E-2</v>
      </c>
      <c r="V22" s="185">
        <v>4.2000000000000003E-2</v>
      </c>
      <c r="W22" s="185">
        <v>4.2000000000000003E-2</v>
      </c>
      <c r="X22" s="185">
        <v>4.2000000000000003E-2</v>
      </c>
      <c r="Y22" s="185">
        <v>4.2000000000000003E-2</v>
      </c>
      <c r="Z22" s="185">
        <v>4.2000000000000003E-2</v>
      </c>
      <c r="AA22" s="185">
        <v>4.2000000000000003E-2</v>
      </c>
      <c r="AB22" s="185">
        <v>4.2000000000000003E-2</v>
      </c>
      <c r="AC22" s="186">
        <v>4.2000000000000003E-2</v>
      </c>
    </row>
    <row r="23" spans="2:29" ht="15" customHeight="1" x14ac:dyDescent="0.3">
      <c r="B23" s="191" t="str">
        <f>$B$17</f>
        <v>Worst Case</v>
      </c>
      <c r="F23" s="187">
        <v>0.03</v>
      </c>
      <c r="G23" s="188">
        <v>0.03</v>
      </c>
      <c r="H23" s="188">
        <v>0.03</v>
      </c>
      <c r="I23" s="188">
        <v>0.03</v>
      </c>
      <c r="J23" s="188">
        <v>0.03</v>
      </c>
      <c r="K23" s="188">
        <v>0.03</v>
      </c>
      <c r="L23" s="188">
        <v>0.03</v>
      </c>
      <c r="M23" s="188">
        <v>0.03</v>
      </c>
      <c r="N23" s="188">
        <v>0.03</v>
      </c>
      <c r="O23" s="188">
        <v>0.03</v>
      </c>
      <c r="P23" s="188">
        <v>0.03</v>
      </c>
      <c r="Q23" s="188">
        <v>0.03</v>
      </c>
      <c r="R23" s="188">
        <v>2.8000000000000001E-2</v>
      </c>
      <c r="S23" s="188">
        <v>2.8000000000000001E-2</v>
      </c>
      <c r="T23" s="188">
        <v>2.8000000000000001E-2</v>
      </c>
      <c r="U23" s="188">
        <v>2.8000000000000001E-2</v>
      </c>
      <c r="V23" s="188">
        <v>2.8000000000000001E-2</v>
      </c>
      <c r="W23" s="188">
        <v>2.8000000000000001E-2</v>
      </c>
      <c r="X23" s="188">
        <v>2.8000000000000001E-2</v>
      </c>
      <c r="Y23" s="188">
        <v>2.8000000000000001E-2</v>
      </c>
      <c r="Z23" s="188">
        <v>2.8000000000000001E-2</v>
      </c>
      <c r="AA23" s="188">
        <v>2.8000000000000001E-2</v>
      </c>
      <c r="AB23" s="188">
        <v>2.8000000000000001E-2</v>
      </c>
      <c r="AC23" s="189">
        <v>2.8000000000000001E-2</v>
      </c>
    </row>
    <row r="24" spans="2:29" ht="15" customHeight="1" x14ac:dyDescent="0.3">
      <c r="B24" s="165"/>
      <c r="F24" s="178"/>
      <c r="G24" s="178"/>
      <c r="H24" s="178"/>
      <c r="I24" s="178"/>
      <c r="J24" s="178"/>
      <c r="K24" s="178"/>
      <c r="L24" s="178"/>
      <c r="M24" s="178"/>
      <c r="N24" s="178"/>
      <c r="O24" s="178"/>
      <c r="P24" s="178"/>
      <c r="Q24" s="178"/>
      <c r="R24" s="178"/>
      <c r="S24" s="178"/>
      <c r="T24" s="178"/>
      <c r="U24" s="178"/>
      <c r="V24" s="178"/>
      <c r="W24" s="178"/>
      <c r="X24" s="178"/>
      <c r="Y24" s="178"/>
      <c r="Z24" s="178"/>
      <c r="AA24" s="178"/>
      <c r="AB24" s="178"/>
      <c r="AC24" s="178"/>
    </row>
    <row r="25" spans="2:29" ht="15" customHeight="1" x14ac:dyDescent="0.3">
      <c r="B25" s="174" t="s">
        <v>34</v>
      </c>
      <c r="F25" s="175" cm="1">
        <f t="array" ref="F25">INDEX(F27:F29,$D$8)+'Operational Model'!$Q$549</f>
        <v>2E-3</v>
      </c>
      <c r="G25" s="176" cm="1">
        <f t="array" ref="G25">INDEX(G27:G29,$D$8)+'Operational Model'!$Q$549</f>
        <v>2E-3</v>
      </c>
      <c r="H25" s="176" cm="1">
        <f t="array" ref="H25">INDEX(H27:H29,$D$8)+'Operational Model'!$Q$549</f>
        <v>2E-3</v>
      </c>
      <c r="I25" s="176" cm="1">
        <f t="array" ref="I25">INDEX(I27:I29,$D$8)+'Operational Model'!$Q$549</f>
        <v>2E-3</v>
      </c>
      <c r="J25" s="176" cm="1">
        <f t="array" ref="J25">INDEX(J27:J29,$D$8)+'Operational Model'!$Q$549</f>
        <v>2E-3</v>
      </c>
      <c r="K25" s="176" cm="1">
        <f t="array" ref="K25">INDEX(K27:K29,$D$8)+'Operational Model'!$Q$549</f>
        <v>2E-3</v>
      </c>
      <c r="L25" s="176" cm="1">
        <f t="array" ref="L25">INDEX(L27:L29,$D$8)+'Operational Model'!$Q$549</f>
        <v>2E-3</v>
      </c>
      <c r="M25" s="176" cm="1">
        <f t="array" ref="M25">INDEX(M27:M29,$D$8)+'Operational Model'!$Q$549</f>
        <v>2E-3</v>
      </c>
      <c r="N25" s="176" cm="1">
        <f t="array" ref="N25">INDEX(N27:N29,$D$8)+'Operational Model'!$Q$549</f>
        <v>2E-3</v>
      </c>
      <c r="O25" s="176" cm="1">
        <f t="array" ref="O25">INDEX(O27:O29,$D$8)+'Operational Model'!$Q$549</f>
        <v>2E-3</v>
      </c>
      <c r="P25" s="176" cm="1">
        <f t="array" ref="P25">INDEX(P27:P29,$D$8)+'Operational Model'!$Q$549</f>
        <v>2E-3</v>
      </c>
      <c r="Q25" s="176" cm="1">
        <f t="array" ref="Q25">INDEX(Q27:Q29,$D$8)+'Operational Model'!$Q$549</f>
        <v>2E-3</v>
      </c>
      <c r="R25" s="176" cm="1">
        <f t="array" ref="R25">INDEX(R27:R29,$D$8)+'Operational Model'!$Q$549</f>
        <v>3.0000000000000001E-3</v>
      </c>
      <c r="S25" s="176" cm="1">
        <f t="array" ref="S25">INDEX(S27:S29,$D$8)+'Operational Model'!$Q$549</f>
        <v>3.0000000000000001E-3</v>
      </c>
      <c r="T25" s="176" cm="1">
        <f t="array" ref="T25">INDEX(T27:T29,$D$8)+'Operational Model'!$Q$549</f>
        <v>3.0000000000000001E-3</v>
      </c>
      <c r="U25" s="176" cm="1">
        <f t="array" ref="U25">INDEX(U27:U29,$D$8)+'Operational Model'!$Q$549</f>
        <v>3.0000000000000001E-3</v>
      </c>
      <c r="V25" s="176" cm="1">
        <f t="array" ref="V25">INDEX(V27:V29,$D$8)+'Operational Model'!$Q$549</f>
        <v>3.0000000000000001E-3</v>
      </c>
      <c r="W25" s="176" cm="1">
        <f t="array" ref="W25">INDEX(W27:W29,$D$8)+'Operational Model'!$Q$549</f>
        <v>3.0000000000000001E-3</v>
      </c>
      <c r="X25" s="176" cm="1">
        <f t="array" ref="X25">INDEX(X27:X29,$D$8)+'Operational Model'!$Q$549</f>
        <v>3.0000000000000001E-3</v>
      </c>
      <c r="Y25" s="176" cm="1">
        <f t="array" ref="Y25">INDEX(Y27:Y29,$D$8)+'Operational Model'!$Q$549</f>
        <v>3.0000000000000001E-3</v>
      </c>
      <c r="Z25" s="176" cm="1">
        <f t="array" ref="Z25">INDEX(Z27:Z29,$D$8)+'Operational Model'!$Q$549</f>
        <v>3.0000000000000001E-3</v>
      </c>
      <c r="AA25" s="176" cm="1">
        <f t="array" ref="AA25">INDEX(AA27:AA29,$D$8)+'Operational Model'!$Q$549</f>
        <v>3.0000000000000001E-3</v>
      </c>
      <c r="AB25" s="176" cm="1">
        <f t="array" ref="AB25">INDEX(AB27:AB29,$D$8)+'Operational Model'!$Q$549</f>
        <v>3.0000000000000001E-3</v>
      </c>
      <c r="AC25" s="177" cm="1">
        <f t="array" ref="AC25">INDEX(AC27:AC29,$D$8)+'Operational Model'!$Q$549</f>
        <v>3.0000000000000001E-3</v>
      </c>
    </row>
    <row r="26" spans="2:29" ht="15" customHeight="1" x14ac:dyDescent="0.3">
      <c r="B26" s="165"/>
      <c r="F26" s="178"/>
      <c r="G26" s="178"/>
      <c r="H26" s="178"/>
      <c r="I26" s="179"/>
      <c r="J26" s="178"/>
      <c r="K26" s="178"/>
      <c r="L26" s="178"/>
      <c r="M26" s="178"/>
      <c r="N26" s="178"/>
      <c r="O26" s="178"/>
      <c r="P26" s="178"/>
      <c r="Q26" s="178"/>
      <c r="R26" s="178"/>
      <c r="S26" s="178"/>
      <c r="T26" s="178"/>
      <c r="U26" s="178"/>
      <c r="V26" s="178"/>
      <c r="W26" s="178"/>
      <c r="X26" s="178"/>
      <c r="Y26" s="178"/>
      <c r="Z26" s="178"/>
      <c r="AA26" s="178"/>
      <c r="AB26" s="178"/>
      <c r="AC26" s="178"/>
    </row>
    <row r="27" spans="2:29" ht="15" customHeight="1" x14ac:dyDescent="0.3">
      <c r="B27" s="190" t="str">
        <f>$B$15</f>
        <v>Best Case</v>
      </c>
      <c r="F27" s="181">
        <v>4.0000000000000001E-3</v>
      </c>
      <c r="G27" s="182">
        <v>4.0000000000000001E-3</v>
      </c>
      <c r="H27" s="182">
        <v>4.0000000000000001E-3</v>
      </c>
      <c r="I27" s="182">
        <v>4.0000000000000001E-3</v>
      </c>
      <c r="J27" s="182">
        <v>4.0000000000000001E-3</v>
      </c>
      <c r="K27" s="182">
        <v>4.0000000000000001E-3</v>
      </c>
      <c r="L27" s="182">
        <v>4.0000000000000001E-3</v>
      </c>
      <c r="M27" s="182">
        <v>4.0000000000000001E-3</v>
      </c>
      <c r="N27" s="182">
        <v>4.0000000000000001E-3</v>
      </c>
      <c r="O27" s="182">
        <v>4.0000000000000001E-3</v>
      </c>
      <c r="P27" s="182">
        <v>4.0000000000000001E-3</v>
      </c>
      <c r="Q27" s="182">
        <v>4.0000000000000001E-3</v>
      </c>
      <c r="R27" s="182">
        <v>5.0000000000000001E-3</v>
      </c>
      <c r="S27" s="182">
        <v>5.0000000000000001E-3</v>
      </c>
      <c r="T27" s="182">
        <v>5.0000000000000001E-3</v>
      </c>
      <c r="U27" s="182">
        <v>5.0000000000000001E-3</v>
      </c>
      <c r="V27" s="182">
        <v>5.0000000000000001E-3</v>
      </c>
      <c r="W27" s="182">
        <v>5.0000000000000001E-3</v>
      </c>
      <c r="X27" s="182">
        <v>5.0000000000000001E-3</v>
      </c>
      <c r="Y27" s="182">
        <v>5.0000000000000001E-3</v>
      </c>
      <c r="Z27" s="182">
        <v>5.0000000000000001E-3</v>
      </c>
      <c r="AA27" s="182">
        <v>5.0000000000000001E-3</v>
      </c>
      <c r="AB27" s="182">
        <v>5.0000000000000001E-3</v>
      </c>
      <c r="AC27" s="183">
        <v>5.0000000000000001E-3</v>
      </c>
    </row>
    <row r="28" spans="2:29" ht="15" customHeight="1" x14ac:dyDescent="0.3">
      <c r="B28" s="191" t="str">
        <f>$B$16</f>
        <v>Base Case</v>
      </c>
      <c r="F28" s="184">
        <v>2E-3</v>
      </c>
      <c r="G28" s="185">
        <v>2E-3</v>
      </c>
      <c r="H28" s="185">
        <v>2E-3</v>
      </c>
      <c r="I28" s="185">
        <v>2E-3</v>
      </c>
      <c r="J28" s="185">
        <v>2E-3</v>
      </c>
      <c r="K28" s="185">
        <v>2E-3</v>
      </c>
      <c r="L28" s="185">
        <v>2E-3</v>
      </c>
      <c r="M28" s="185">
        <v>2E-3</v>
      </c>
      <c r="N28" s="185">
        <v>2E-3</v>
      </c>
      <c r="O28" s="185">
        <v>2E-3</v>
      </c>
      <c r="P28" s="185">
        <v>2E-3</v>
      </c>
      <c r="Q28" s="185">
        <v>2E-3</v>
      </c>
      <c r="R28" s="185">
        <v>3.0000000000000001E-3</v>
      </c>
      <c r="S28" s="185">
        <v>3.0000000000000001E-3</v>
      </c>
      <c r="T28" s="185">
        <v>3.0000000000000001E-3</v>
      </c>
      <c r="U28" s="185">
        <v>3.0000000000000001E-3</v>
      </c>
      <c r="V28" s="185">
        <v>3.0000000000000001E-3</v>
      </c>
      <c r="W28" s="185">
        <v>3.0000000000000001E-3</v>
      </c>
      <c r="X28" s="185">
        <v>3.0000000000000001E-3</v>
      </c>
      <c r="Y28" s="185">
        <v>3.0000000000000001E-3</v>
      </c>
      <c r="Z28" s="185">
        <v>3.0000000000000001E-3</v>
      </c>
      <c r="AA28" s="185">
        <v>3.0000000000000001E-3</v>
      </c>
      <c r="AB28" s="185">
        <v>3.0000000000000001E-3</v>
      </c>
      <c r="AC28" s="186">
        <v>3.0000000000000001E-3</v>
      </c>
    </row>
    <row r="29" spans="2:29" ht="15" customHeight="1" x14ac:dyDescent="0.3">
      <c r="B29" s="191" t="str">
        <f>$B$17</f>
        <v>Worst Case</v>
      </c>
      <c r="F29" s="187">
        <v>0</v>
      </c>
      <c r="G29" s="188">
        <v>0</v>
      </c>
      <c r="H29" s="188">
        <v>0</v>
      </c>
      <c r="I29" s="188">
        <v>0</v>
      </c>
      <c r="J29" s="188">
        <v>0</v>
      </c>
      <c r="K29" s="188">
        <v>0</v>
      </c>
      <c r="L29" s="188">
        <v>0</v>
      </c>
      <c r="M29" s="188">
        <v>0</v>
      </c>
      <c r="N29" s="188">
        <v>0</v>
      </c>
      <c r="O29" s="188">
        <v>0</v>
      </c>
      <c r="P29" s="188">
        <v>0</v>
      </c>
      <c r="Q29" s="188">
        <v>0</v>
      </c>
      <c r="R29" s="188">
        <v>0</v>
      </c>
      <c r="S29" s="188">
        <v>0</v>
      </c>
      <c r="T29" s="188">
        <v>0</v>
      </c>
      <c r="U29" s="188">
        <v>0</v>
      </c>
      <c r="V29" s="188">
        <v>0</v>
      </c>
      <c r="W29" s="188">
        <v>0</v>
      </c>
      <c r="X29" s="188">
        <v>0</v>
      </c>
      <c r="Y29" s="188">
        <v>0</v>
      </c>
      <c r="Z29" s="188">
        <v>0</v>
      </c>
      <c r="AA29" s="188">
        <v>0</v>
      </c>
      <c r="AB29" s="188">
        <v>0</v>
      </c>
      <c r="AC29" s="189">
        <v>0</v>
      </c>
    </row>
    <row r="30" spans="2:29" ht="15" customHeight="1" x14ac:dyDescent="0.3">
      <c r="B30" s="165"/>
      <c r="F30" s="178"/>
      <c r="G30" s="178"/>
      <c r="H30" s="178"/>
      <c r="I30" s="178"/>
      <c r="J30" s="178"/>
      <c r="K30" s="178"/>
      <c r="L30" s="178"/>
      <c r="M30" s="178"/>
      <c r="N30" s="178"/>
      <c r="O30" s="178"/>
      <c r="P30" s="178"/>
      <c r="Q30" s="178"/>
      <c r="R30" s="178"/>
      <c r="S30" s="178"/>
      <c r="T30" s="178"/>
      <c r="U30" s="178"/>
      <c r="V30" s="178"/>
      <c r="W30" s="178"/>
      <c r="X30" s="178"/>
      <c r="Y30" s="178"/>
      <c r="Z30" s="178"/>
      <c r="AA30" s="178"/>
      <c r="AB30" s="178"/>
      <c r="AC30" s="178"/>
    </row>
    <row r="31" spans="2:29" ht="15" customHeight="1" x14ac:dyDescent="0.3">
      <c r="B31" s="174" t="s">
        <v>41</v>
      </c>
      <c r="F31" s="175" cm="1">
        <f t="array" ref="F31">INDEX(F33:F35,$D$8)+'Operational Model'!$Q$550</f>
        <v>0.02</v>
      </c>
      <c r="G31" s="176" cm="1">
        <f t="array" ref="G31">INDEX(G33:G35,$D$8)+'Operational Model'!$Q$550</f>
        <v>0.02</v>
      </c>
      <c r="H31" s="176" cm="1">
        <f t="array" ref="H31">INDEX(H33:H35,$D$8)+'Operational Model'!$Q$550</f>
        <v>0.02</v>
      </c>
      <c r="I31" s="176" cm="1">
        <f t="array" ref="I31">INDEX(I33:I35,$D$8)+'Operational Model'!$Q$550</f>
        <v>0.02</v>
      </c>
      <c r="J31" s="176" cm="1">
        <f t="array" ref="J31">INDEX(J33:J35,$D$8)+'Operational Model'!$Q$550</f>
        <v>0.02</v>
      </c>
      <c r="K31" s="176" cm="1">
        <f t="array" ref="K31">INDEX(K33:K35,$D$8)+'Operational Model'!$Q$550</f>
        <v>0.02</v>
      </c>
      <c r="L31" s="176" cm="1">
        <f t="array" ref="L31">INDEX(L33:L35,$D$8)+'Operational Model'!$Q$550</f>
        <v>0.02</v>
      </c>
      <c r="M31" s="176" cm="1">
        <f t="array" ref="M31">INDEX(M33:M35,$D$8)+'Operational Model'!$Q$550</f>
        <v>0.02</v>
      </c>
      <c r="N31" s="176" cm="1">
        <f t="array" ref="N31">INDEX(N33:N35,$D$8)+'Operational Model'!$Q$550</f>
        <v>0.02</v>
      </c>
      <c r="O31" s="176" cm="1">
        <f t="array" ref="O31">INDEX(O33:O35,$D$8)+'Operational Model'!$Q$550</f>
        <v>0.02</v>
      </c>
      <c r="P31" s="176" cm="1">
        <f t="array" ref="P31">INDEX(P33:P35,$D$8)+'Operational Model'!$Q$550</f>
        <v>0.02</v>
      </c>
      <c r="Q31" s="176" cm="1">
        <f t="array" ref="Q31">INDEX(Q33:Q35,$D$8)+'Operational Model'!$Q$550</f>
        <v>0.02</v>
      </c>
      <c r="R31" s="176" cm="1">
        <f t="array" ref="R31">INDEX(R33:R35,$D$8)+'Operational Model'!$Q$550</f>
        <v>1.7999999999999999E-2</v>
      </c>
      <c r="S31" s="176" cm="1">
        <f t="array" ref="S31">INDEX(S33:S35,$D$8)+'Operational Model'!$Q$550</f>
        <v>1.7999999999999999E-2</v>
      </c>
      <c r="T31" s="176" cm="1">
        <f t="array" ref="T31">INDEX(T33:T35,$D$8)+'Operational Model'!$Q$550</f>
        <v>1.7999999999999999E-2</v>
      </c>
      <c r="U31" s="176" cm="1">
        <f t="array" ref="U31">INDEX(U33:U35,$D$8)+'Operational Model'!$Q$550</f>
        <v>1.7999999999999999E-2</v>
      </c>
      <c r="V31" s="176" cm="1">
        <f t="array" ref="V31">INDEX(V33:V35,$D$8)+'Operational Model'!$Q$550</f>
        <v>1.7999999999999999E-2</v>
      </c>
      <c r="W31" s="176" cm="1">
        <f t="array" ref="W31">INDEX(W33:W35,$D$8)+'Operational Model'!$Q$550</f>
        <v>1.7999999999999999E-2</v>
      </c>
      <c r="X31" s="176" cm="1">
        <f t="array" ref="X31">INDEX(X33:X35,$D$8)+'Operational Model'!$Q$550</f>
        <v>1.7999999999999999E-2</v>
      </c>
      <c r="Y31" s="176" cm="1">
        <f t="array" ref="Y31">INDEX(Y33:Y35,$D$8)+'Operational Model'!$Q$550</f>
        <v>1.7999999999999999E-2</v>
      </c>
      <c r="Z31" s="176" cm="1">
        <f t="array" ref="Z31">INDEX(Z33:Z35,$D$8)+'Operational Model'!$Q$550</f>
        <v>1.7999999999999999E-2</v>
      </c>
      <c r="AA31" s="176" cm="1">
        <f t="array" ref="AA31">INDEX(AA33:AA35,$D$8)+'Operational Model'!$Q$550</f>
        <v>1.7999999999999999E-2</v>
      </c>
      <c r="AB31" s="176" cm="1">
        <f t="array" ref="AB31">INDEX(AB33:AB35,$D$8)+'Operational Model'!$Q$550</f>
        <v>1.7999999999999999E-2</v>
      </c>
      <c r="AC31" s="177" cm="1">
        <f t="array" ref="AC31">INDEX(AC33:AC35,$D$8)+'Operational Model'!$Q$550</f>
        <v>1.7999999999999999E-2</v>
      </c>
    </row>
    <row r="32" spans="2:29" ht="15" customHeight="1" x14ac:dyDescent="0.3">
      <c r="B32" s="165"/>
      <c r="F32" s="178"/>
      <c r="G32" s="178"/>
      <c r="H32" s="178"/>
      <c r="I32" s="179"/>
      <c r="J32" s="178"/>
      <c r="K32" s="178"/>
      <c r="L32" s="178"/>
      <c r="M32" s="178"/>
      <c r="N32" s="178"/>
      <c r="O32" s="178"/>
      <c r="P32" s="178"/>
      <c r="Q32" s="178"/>
      <c r="R32" s="178"/>
      <c r="S32" s="178"/>
      <c r="T32" s="178"/>
      <c r="U32" s="178"/>
      <c r="V32" s="178"/>
      <c r="W32" s="178"/>
      <c r="X32" s="178"/>
      <c r="Y32" s="178"/>
      <c r="Z32" s="178"/>
      <c r="AA32" s="178"/>
      <c r="AB32" s="178"/>
      <c r="AC32" s="178"/>
    </row>
    <row r="33" spans="2:29" ht="15" customHeight="1" x14ac:dyDescent="0.3">
      <c r="B33" s="190" t="str">
        <f>$B$15</f>
        <v>Best Case</v>
      </c>
      <c r="F33" s="181">
        <v>0.01</v>
      </c>
      <c r="G33" s="182">
        <v>0.01</v>
      </c>
      <c r="H33" s="182">
        <v>0.01</v>
      </c>
      <c r="I33" s="182">
        <v>0.01</v>
      </c>
      <c r="J33" s="182">
        <v>0.01</v>
      </c>
      <c r="K33" s="182">
        <v>0.01</v>
      </c>
      <c r="L33" s="182">
        <v>0.01</v>
      </c>
      <c r="M33" s="182">
        <v>0.01</v>
      </c>
      <c r="N33" s="182">
        <v>0.01</v>
      </c>
      <c r="O33" s="182">
        <v>0.01</v>
      </c>
      <c r="P33" s="182">
        <v>0.01</v>
      </c>
      <c r="Q33" s="182">
        <v>0.01</v>
      </c>
      <c r="R33" s="182">
        <v>8.0000000000000002E-3</v>
      </c>
      <c r="S33" s="182">
        <v>8.0000000000000002E-3</v>
      </c>
      <c r="T33" s="182">
        <v>8.0000000000000002E-3</v>
      </c>
      <c r="U33" s="182">
        <v>8.0000000000000002E-3</v>
      </c>
      <c r="V33" s="182">
        <v>8.0000000000000002E-3</v>
      </c>
      <c r="W33" s="182">
        <v>8.0000000000000002E-3</v>
      </c>
      <c r="X33" s="182">
        <v>8.0000000000000002E-3</v>
      </c>
      <c r="Y33" s="182">
        <v>8.0000000000000002E-3</v>
      </c>
      <c r="Z33" s="182">
        <v>8.0000000000000002E-3</v>
      </c>
      <c r="AA33" s="182">
        <v>8.0000000000000002E-3</v>
      </c>
      <c r="AB33" s="182">
        <v>8.0000000000000002E-3</v>
      </c>
      <c r="AC33" s="183">
        <v>8.0000000000000002E-3</v>
      </c>
    </row>
    <row r="34" spans="2:29" ht="15" customHeight="1" x14ac:dyDescent="0.3">
      <c r="B34" s="191" t="str">
        <f>$B$16</f>
        <v>Base Case</v>
      </c>
      <c r="F34" s="184">
        <v>0.02</v>
      </c>
      <c r="G34" s="185">
        <v>0.02</v>
      </c>
      <c r="H34" s="185">
        <v>0.02</v>
      </c>
      <c r="I34" s="185">
        <v>0.02</v>
      </c>
      <c r="J34" s="185">
        <v>0.02</v>
      </c>
      <c r="K34" s="185">
        <v>0.02</v>
      </c>
      <c r="L34" s="185">
        <v>0.02</v>
      </c>
      <c r="M34" s="185">
        <v>0.02</v>
      </c>
      <c r="N34" s="185">
        <v>0.02</v>
      </c>
      <c r="O34" s="185">
        <v>0.02</v>
      </c>
      <c r="P34" s="185">
        <v>0.02</v>
      </c>
      <c r="Q34" s="185">
        <v>0.02</v>
      </c>
      <c r="R34" s="185">
        <v>1.7999999999999999E-2</v>
      </c>
      <c r="S34" s="185">
        <v>1.7999999999999999E-2</v>
      </c>
      <c r="T34" s="185">
        <v>1.7999999999999999E-2</v>
      </c>
      <c r="U34" s="185">
        <v>1.7999999999999999E-2</v>
      </c>
      <c r="V34" s="185">
        <v>1.7999999999999999E-2</v>
      </c>
      <c r="W34" s="185">
        <v>1.7999999999999999E-2</v>
      </c>
      <c r="X34" s="185">
        <v>1.7999999999999999E-2</v>
      </c>
      <c r="Y34" s="185">
        <v>1.7999999999999999E-2</v>
      </c>
      <c r="Z34" s="185">
        <v>1.7999999999999999E-2</v>
      </c>
      <c r="AA34" s="185">
        <v>1.7999999999999999E-2</v>
      </c>
      <c r="AB34" s="185">
        <v>1.7999999999999999E-2</v>
      </c>
      <c r="AC34" s="186">
        <v>1.7999999999999999E-2</v>
      </c>
    </row>
    <row r="35" spans="2:29" ht="15" customHeight="1" x14ac:dyDescent="0.3">
      <c r="B35" s="191" t="str">
        <f>$B$17</f>
        <v>Worst Case</v>
      </c>
      <c r="F35" s="187">
        <v>3.5000000000000003E-2</v>
      </c>
      <c r="G35" s="188">
        <v>3.5000000000000003E-2</v>
      </c>
      <c r="H35" s="188">
        <v>3.5000000000000003E-2</v>
      </c>
      <c r="I35" s="188">
        <v>3.5000000000000003E-2</v>
      </c>
      <c r="J35" s="188">
        <v>3.5000000000000003E-2</v>
      </c>
      <c r="K35" s="188">
        <v>3.5000000000000003E-2</v>
      </c>
      <c r="L35" s="188">
        <v>3.5000000000000003E-2</v>
      </c>
      <c r="M35" s="188">
        <v>3.5000000000000003E-2</v>
      </c>
      <c r="N35" s="188">
        <v>3.5000000000000003E-2</v>
      </c>
      <c r="O35" s="188">
        <v>3.5000000000000003E-2</v>
      </c>
      <c r="P35" s="188">
        <v>3.5000000000000003E-2</v>
      </c>
      <c r="Q35" s="188">
        <v>3.5000000000000003E-2</v>
      </c>
      <c r="R35" s="188">
        <v>3.5000000000000003E-2</v>
      </c>
      <c r="S35" s="188">
        <v>3.5000000000000003E-2</v>
      </c>
      <c r="T35" s="188">
        <v>3.5000000000000003E-2</v>
      </c>
      <c r="U35" s="188">
        <v>3.5000000000000003E-2</v>
      </c>
      <c r="V35" s="188">
        <v>3.5000000000000003E-2</v>
      </c>
      <c r="W35" s="188">
        <v>3.5000000000000003E-2</v>
      </c>
      <c r="X35" s="188">
        <v>3.5000000000000003E-2</v>
      </c>
      <c r="Y35" s="188">
        <v>3.5000000000000003E-2</v>
      </c>
      <c r="Z35" s="188">
        <v>3.5000000000000003E-2</v>
      </c>
      <c r="AA35" s="188">
        <v>3.5000000000000003E-2</v>
      </c>
      <c r="AB35" s="188">
        <v>3.5000000000000003E-2</v>
      </c>
      <c r="AC35" s="189">
        <v>3.5000000000000003E-2</v>
      </c>
    </row>
    <row r="36" spans="2:29" ht="15" customHeight="1" x14ac:dyDescent="0.3">
      <c r="B36" s="165"/>
    </row>
    <row r="37" spans="2:29" ht="15" customHeight="1" x14ac:dyDescent="0.3">
      <c r="B37" s="192" t="s">
        <v>6</v>
      </c>
    </row>
    <row r="38" spans="2:29" ht="15" customHeight="1" x14ac:dyDescent="0.3">
      <c r="B38" s="173"/>
    </row>
    <row r="39" spans="2:29" ht="15" customHeight="1" x14ac:dyDescent="0.3">
      <c r="B39" s="174" t="s">
        <v>99</v>
      </c>
      <c r="F39" s="193" cm="1">
        <f t="array" ref="F39">INDEX(F41:F43,$D$8)</f>
        <v>0.7</v>
      </c>
      <c r="G39" s="194" cm="1">
        <f t="array" ref="G39">INDEX(G41:G43,$D$8)</f>
        <v>0.7</v>
      </c>
      <c r="H39" s="194" cm="1">
        <f t="array" ref="H39">INDEX(H41:H43,$D$8)</f>
        <v>0.7</v>
      </c>
      <c r="I39" s="194" cm="1">
        <f t="array" ref="I39">INDEX(I41:I43,$D$8)</f>
        <v>0.7</v>
      </c>
      <c r="J39" s="194" cm="1">
        <f t="array" ref="J39">INDEX(J41:J43,$D$8)</f>
        <v>0.7</v>
      </c>
      <c r="K39" s="194" cm="1">
        <f t="array" ref="K39">INDEX(K41:K43,$D$8)</f>
        <v>0.7</v>
      </c>
      <c r="L39" s="194" cm="1">
        <f t="array" ref="L39">INDEX(L41:L43,$D$8)</f>
        <v>0.7</v>
      </c>
      <c r="M39" s="194" cm="1">
        <f t="array" ref="M39">INDEX(M41:M43,$D$8)</f>
        <v>0.7</v>
      </c>
      <c r="N39" s="194" cm="1">
        <f t="array" ref="N39">INDEX(N41:N43,$D$8)</f>
        <v>0.7</v>
      </c>
      <c r="O39" s="194" cm="1">
        <f t="array" ref="O39">INDEX(O41:O43,$D$8)</f>
        <v>0.7</v>
      </c>
      <c r="P39" s="194" cm="1">
        <f t="array" ref="P39">INDEX(P41:P43,$D$8)</f>
        <v>0.7</v>
      </c>
      <c r="Q39" s="194" cm="1">
        <f t="array" ref="Q39">INDEX(Q41:Q43,$D$8)</f>
        <v>0.7</v>
      </c>
      <c r="R39" s="194" cm="1">
        <f t="array" ref="R39">INDEX(R41:R43,$D$8)</f>
        <v>0.4</v>
      </c>
      <c r="S39" s="194" cm="1">
        <f t="array" ref="S39">INDEX(S41:S43,$D$8)</f>
        <v>0.4</v>
      </c>
      <c r="T39" s="194" cm="1">
        <f t="array" ref="T39">INDEX(T41:T43,$D$8)</f>
        <v>0.4</v>
      </c>
      <c r="U39" s="194" cm="1">
        <f t="array" ref="U39">INDEX(U41:U43,$D$8)</f>
        <v>0.4</v>
      </c>
      <c r="V39" s="194" cm="1">
        <f t="array" ref="V39">INDEX(V41:V43,$D$8)</f>
        <v>0.4</v>
      </c>
      <c r="W39" s="194" cm="1">
        <f t="array" ref="W39">INDEX(W41:W43,$D$8)</f>
        <v>0.4</v>
      </c>
      <c r="X39" s="194" cm="1">
        <f t="array" ref="X39">INDEX(X41:X43,$D$8)</f>
        <v>0.4</v>
      </c>
      <c r="Y39" s="194" cm="1">
        <f t="array" ref="Y39">INDEX(Y41:Y43,$D$8)</f>
        <v>0.4</v>
      </c>
      <c r="Z39" s="194" cm="1">
        <f t="array" ref="Z39">INDEX(Z41:Z43,$D$8)</f>
        <v>0.4</v>
      </c>
      <c r="AA39" s="194" cm="1">
        <f t="array" ref="AA39">INDEX(AA41:AA43,$D$8)</f>
        <v>0.4</v>
      </c>
      <c r="AB39" s="194" cm="1">
        <f t="array" ref="AB39">INDEX(AB41:AB43,$D$8)</f>
        <v>0.4</v>
      </c>
      <c r="AC39" s="195" cm="1">
        <f t="array" ref="AC39">INDEX(AC41:AC43,$D$8)</f>
        <v>0.4</v>
      </c>
    </row>
    <row r="40" spans="2:29" ht="15" customHeight="1" x14ac:dyDescent="0.3">
      <c r="B40" s="165"/>
      <c r="F40" s="196"/>
      <c r="G40" s="196"/>
      <c r="H40" s="196"/>
      <c r="I40" s="197"/>
      <c r="J40" s="196"/>
      <c r="K40" s="196"/>
      <c r="L40" s="196"/>
      <c r="M40" s="196"/>
      <c r="N40" s="196"/>
      <c r="O40" s="196"/>
      <c r="P40" s="196"/>
      <c r="Q40" s="196"/>
      <c r="R40" s="196"/>
      <c r="S40" s="196"/>
      <c r="T40" s="196"/>
      <c r="U40" s="196"/>
      <c r="V40" s="196"/>
      <c r="W40" s="196"/>
      <c r="X40" s="196"/>
      <c r="Y40" s="196"/>
      <c r="Z40" s="196"/>
      <c r="AA40" s="196"/>
      <c r="AB40" s="196"/>
      <c r="AC40" s="196"/>
    </row>
    <row r="41" spans="2:29" ht="15" customHeight="1" x14ac:dyDescent="0.3">
      <c r="B41" s="190" t="str">
        <f>$B$15</f>
        <v>Best Case</v>
      </c>
      <c r="F41" s="198">
        <v>1.5</v>
      </c>
      <c r="G41" s="199">
        <v>1.5</v>
      </c>
      <c r="H41" s="199">
        <v>1.5</v>
      </c>
      <c r="I41" s="199">
        <v>1.5</v>
      </c>
      <c r="J41" s="199">
        <v>1.5</v>
      </c>
      <c r="K41" s="199">
        <v>1.5</v>
      </c>
      <c r="L41" s="199">
        <v>1.5</v>
      </c>
      <c r="M41" s="199">
        <v>1.5</v>
      </c>
      <c r="N41" s="199">
        <v>1.5</v>
      </c>
      <c r="O41" s="199">
        <v>1.5</v>
      </c>
      <c r="P41" s="199">
        <v>1.5</v>
      </c>
      <c r="Q41" s="199">
        <v>1.5</v>
      </c>
      <c r="R41" s="199">
        <v>1.1000000000000001</v>
      </c>
      <c r="S41" s="199">
        <v>1.1000000000000001</v>
      </c>
      <c r="T41" s="199">
        <v>1.1000000000000001</v>
      </c>
      <c r="U41" s="199">
        <v>1.1000000000000001</v>
      </c>
      <c r="V41" s="199">
        <v>1.1000000000000001</v>
      </c>
      <c r="W41" s="199">
        <v>1.1000000000000001</v>
      </c>
      <c r="X41" s="199">
        <v>1.1000000000000001</v>
      </c>
      <c r="Y41" s="199">
        <v>1.1000000000000001</v>
      </c>
      <c r="Z41" s="199">
        <v>1.1000000000000001</v>
      </c>
      <c r="AA41" s="199">
        <v>1.1000000000000001</v>
      </c>
      <c r="AB41" s="199">
        <v>1.1000000000000001</v>
      </c>
      <c r="AC41" s="200">
        <v>1.1000000000000001</v>
      </c>
    </row>
    <row r="42" spans="2:29" ht="15" customHeight="1" x14ac:dyDescent="0.3">
      <c r="B42" s="191" t="str">
        <f>$B$16</f>
        <v>Base Case</v>
      </c>
      <c r="F42" s="201">
        <v>0.7</v>
      </c>
      <c r="G42" s="202">
        <v>0.7</v>
      </c>
      <c r="H42" s="202">
        <v>0.7</v>
      </c>
      <c r="I42" s="202">
        <v>0.7</v>
      </c>
      <c r="J42" s="202">
        <v>0.7</v>
      </c>
      <c r="K42" s="202">
        <v>0.7</v>
      </c>
      <c r="L42" s="202">
        <v>0.7</v>
      </c>
      <c r="M42" s="202">
        <v>0.7</v>
      </c>
      <c r="N42" s="202">
        <v>0.7</v>
      </c>
      <c r="O42" s="202">
        <v>0.7</v>
      </c>
      <c r="P42" s="202">
        <v>0.7</v>
      </c>
      <c r="Q42" s="202">
        <v>0.7</v>
      </c>
      <c r="R42" s="202">
        <v>0.4</v>
      </c>
      <c r="S42" s="202">
        <v>0.4</v>
      </c>
      <c r="T42" s="202">
        <v>0.4</v>
      </c>
      <c r="U42" s="202">
        <v>0.4</v>
      </c>
      <c r="V42" s="202">
        <v>0.4</v>
      </c>
      <c r="W42" s="202">
        <v>0.4</v>
      </c>
      <c r="X42" s="202">
        <v>0.4</v>
      </c>
      <c r="Y42" s="202">
        <v>0.4</v>
      </c>
      <c r="Z42" s="202">
        <v>0.4</v>
      </c>
      <c r="AA42" s="202">
        <v>0.4</v>
      </c>
      <c r="AB42" s="202">
        <v>0.4</v>
      </c>
      <c r="AC42" s="203">
        <v>0.4</v>
      </c>
    </row>
    <row r="43" spans="2:29" ht="15" customHeight="1" x14ac:dyDescent="0.3">
      <c r="B43" s="191" t="str">
        <f>$B$17</f>
        <v>Worst Case</v>
      </c>
      <c r="F43" s="204">
        <v>0</v>
      </c>
      <c r="G43" s="205">
        <v>0</v>
      </c>
      <c r="H43" s="205">
        <v>0</v>
      </c>
      <c r="I43" s="205">
        <v>0</v>
      </c>
      <c r="J43" s="205">
        <v>0</v>
      </c>
      <c r="K43" s="205">
        <v>0</v>
      </c>
      <c r="L43" s="205">
        <v>0</v>
      </c>
      <c r="M43" s="205">
        <v>0</v>
      </c>
      <c r="N43" s="205">
        <v>0</v>
      </c>
      <c r="O43" s="205">
        <v>0</v>
      </c>
      <c r="P43" s="205">
        <v>0</v>
      </c>
      <c r="Q43" s="205">
        <v>0</v>
      </c>
      <c r="R43" s="205">
        <v>0</v>
      </c>
      <c r="S43" s="205">
        <v>0</v>
      </c>
      <c r="T43" s="205">
        <v>0</v>
      </c>
      <c r="U43" s="205">
        <v>0</v>
      </c>
      <c r="V43" s="205">
        <v>0</v>
      </c>
      <c r="W43" s="205">
        <v>0</v>
      </c>
      <c r="X43" s="205">
        <v>0</v>
      </c>
      <c r="Y43" s="205">
        <v>0</v>
      </c>
      <c r="Z43" s="205">
        <v>0</v>
      </c>
      <c r="AA43" s="205">
        <v>0</v>
      </c>
      <c r="AB43" s="205">
        <v>0</v>
      </c>
      <c r="AC43" s="206">
        <v>0</v>
      </c>
    </row>
    <row r="44" spans="2:29" ht="15" customHeight="1" x14ac:dyDescent="0.3">
      <c r="B44" s="165"/>
      <c r="F44" s="196"/>
      <c r="G44" s="196"/>
      <c r="H44" s="196"/>
      <c r="I44" s="196"/>
      <c r="J44" s="196"/>
      <c r="L44" s="196"/>
      <c r="M44" s="196"/>
      <c r="N44" s="196"/>
      <c r="O44" s="196"/>
      <c r="P44" s="196"/>
      <c r="Q44" s="196"/>
      <c r="R44" s="196"/>
      <c r="S44" s="196"/>
      <c r="T44" s="196"/>
      <c r="U44" s="196"/>
      <c r="V44" s="196"/>
      <c r="W44" s="196"/>
      <c r="X44" s="196"/>
      <c r="Y44" s="196"/>
      <c r="Z44" s="196"/>
      <c r="AA44" s="196"/>
      <c r="AB44" s="196"/>
      <c r="AC44" s="196"/>
    </row>
    <row r="45" spans="2:29" ht="15" customHeight="1" x14ac:dyDescent="0.3">
      <c r="B45" s="174" t="s">
        <v>100</v>
      </c>
      <c r="F45" s="193" cm="1">
        <f t="array" ref="F45">INDEX(F47:F49,$D$8)</f>
        <v>0.3</v>
      </c>
      <c r="G45" s="194" cm="1">
        <f t="array" ref="G45">INDEX(G47:G49,$D$8)</f>
        <v>0.3</v>
      </c>
      <c r="H45" s="194" cm="1">
        <f t="array" ref="H45">INDEX(H47:H49,$D$8)</f>
        <v>0.3</v>
      </c>
      <c r="I45" s="194" cm="1">
        <f t="array" ref="I45">INDEX(I47:I49,$D$8)</f>
        <v>0.3</v>
      </c>
      <c r="J45" s="194" cm="1">
        <f t="array" ref="J45">INDEX(J47:J49,$D$8)</f>
        <v>0.3</v>
      </c>
      <c r="K45" s="194" cm="1">
        <f t="array" ref="K45">INDEX(K47:K49,$D$8)</f>
        <v>0.3</v>
      </c>
      <c r="L45" s="194" cm="1">
        <f t="array" ref="L45">INDEX(L47:L49,$D$8)</f>
        <v>0.3</v>
      </c>
      <c r="M45" s="194" cm="1">
        <f t="array" ref="M45">INDEX(M47:M49,$D$8)</f>
        <v>0.3</v>
      </c>
      <c r="N45" s="194" cm="1">
        <f t="array" ref="N45">INDEX(N47:N49,$D$8)</f>
        <v>0.3</v>
      </c>
      <c r="O45" s="194" cm="1">
        <f t="array" ref="O45">INDEX(O47:O49,$D$8)</f>
        <v>0.3</v>
      </c>
      <c r="P45" s="194" cm="1">
        <f t="array" ref="P45">INDEX(P47:P49,$D$8)</f>
        <v>0.3</v>
      </c>
      <c r="Q45" s="194" cm="1">
        <f t="array" ref="Q45">INDEX(Q47:Q49,$D$8)</f>
        <v>0.3</v>
      </c>
      <c r="R45" s="194" cm="1">
        <f t="array" ref="R45">INDEX(R47:R49,$D$8)</f>
        <v>0.1</v>
      </c>
      <c r="S45" s="194" cm="1">
        <f t="array" ref="S45">INDEX(S47:S49,$D$8)</f>
        <v>0.1</v>
      </c>
      <c r="T45" s="194" cm="1">
        <f t="array" ref="T45">INDEX(T47:T49,$D$8)</f>
        <v>0.1</v>
      </c>
      <c r="U45" s="194" cm="1">
        <f t="array" ref="U45">INDEX(U47:U49,$D$8)</f>
        <v>0.1</v>
      </c>
      <c r="V45" s="194" cm="1">
        <f t="array" ref="V45">INDEX(V47:V49,$D$8)</f>
        <v>0.1</v>
      </c>
      <c r="W45" s="194" cm="1">
        <f t="array" ref="W45">INDEX(W47:W49,$D$8)</f>
        <v>0.1</v>
      </c>
      <c r="X45" s="194" cm="1">
        <f t="array" ref="X45">INDEX(X47:X49,$D$8)</f>
        <v>0.1</v>
      </c>
      <c r="Y45" s="194" cm="1">
        <f t="array" ref="Y45">INDEX(Y47:Y49,$D$8)</f>
        <v>0.1</v>
      </c>
      <c r="Z45" s="194" cm="1">
        <f t="array" ref="Z45">INDEX(Z47:Z49,$D$8)</f>
        <v>0.1</v>
      </c>
      <c r="AA45" s="194" cm="1">
        <f t="array" ref="AA45">INDEX(AA47:AA49,$D$8)</f>
        <v>0.1</v>
      </c>
      <c r="AB45" s="194" cm="1">
        <f t="array" ref="AB45">INDEX(AB47:AB49,$D$8)</f>
        <v>0.1</v>
      </c>
      <c r="AC45" s="195" cm="1">
        <f t="array" ref="AC45">INDEX(AC47:AC49,$D$8)</f>
        <v>0.1</v>
      </c>
    </row>
    <row r="46" spans="2:29" ht="15" customHeight="1" x14ac:dyDescent="0.3">
      <c r="B46" s="165"/>
      <c r="F46" s="196"/>
      <c r="G46" s="196"/>
      <c r="H46" s="196"/>
      <c r="I46" s="197"/>
      <c r="J46" s="196"/>
      <c r="K46" s="196"/>
      <c r="L46" s="196"/>
      <c r="M46" s="196"/>
      <c r="N46" s="196"/>
      <c r="O46" s="196"/>
      <c r="P46" s="196"/>
      <c r="Q46" s="196"/>
      <c r="R46" s="196"/>
      <c r="S46" s="196"/>
      <c r="T46" s="196"/>
      <c r="U46" s="196"/>
      <c r="V46" s="196"/>
      <c r="W46" s="196"/>
      <c r="X46" s="196"/>
      <c r="Y46" s="196"/>
      <c r="Z46" s="196"/>
      <c r="AA46" s="196"/>
      <c r="AB46" s="196"/>
      <c r="AC46" s="196"/>
    </row>
    <row r="47" spans="2:29" ht="15" customHeight="1" x14ac:dyDescent="0.3">
      <c r="B47" s="190" t="str">
        <f>$B$15</f>
        <v>Best Case</v>
      </c>
      <c r="F47" s="198">
        <v>0.5</v>
      </c>
      <c r="G47" s="199">
        <v>0.5</v>
      </c>
      <c r="H47" s="199">
        <v>0.5</v>
      </c>
      <c r="I47" s="199">
        <v>0.5</v>
      </c>
      <c r="J47" s="199">
        <v>0.5</v>
      </c>
      <c r="K47" s="199">
        <v>0.5</v>
      </c>
      <c r="L47" s="199">
        <v>0.5</v>
      </c>
      <c r="M47" s="199">
        <v>0.5</v>
      </c>
      <c r="N47" s="199">
        <v>0.5</v>
      </c>
      <c r="O47" s="199">
        <v>0.5</v>
      </c>
      <c r="P47" s="199">
        <v>0.5</v>
      </c>
      <c r="Q47" s="199">
        <v>0.5</v>
      </c>
      <c r="R47" s="199">
        <v>0.4</v>
      </c>
      <c r="S47" s="199">
        <v>0.4</v>
      </c>
      <c r="T47" s="199">
        <v>0.4</v>
      </c>
      <c r="U47" s="199">
        <v>0.4</v>
      </c>
      <c r="V47" s="199">
        <v>0.4</v>
      </c>
      <c r="W47" s="199">
        <v>0.4</v>
      </c>
      <c r="X47" s="199">
        <v>0.4</v>
      </c>
      <c r="Y47" s="199">
        <v>0.4</v>
      </c>
      <c r="Z47" s="199">
        <v>0.4</v>
      </c>
      <c r="AA47" s="199">
        <v>0.4</v>
      </c>
      <c r="AB47" s="199">
        <v>0.4</v>
      </c>
      <c r="AC47" s="200">
        <v>0.4</v>
      </c>
    </row>
    <row r="48" spans="2:29" ht="15" customHeight="1" x14ac:dyDescent="0.3">
      <c r="B48" s="191" t="str">
        <f>$B$16</f>
        <v>Base Case</v>
      </c>
      <c r="F48" s="201">
        <v>0.3</v>
      </c>
      <c r="G48" s="202">
        <v>0.3</v>
      </c>
      <c r="H48" s="202">
        <v>0.3</v>
      </c>
      <c r="I48" s="202">
        <v>0.3</v>
      </c>
      <c r="J48" s="202">
        <v>0.3</v>
      </c>
      <c r="K48" s="202">
        <v>0.3</v>
      </c>
      <c r="L48" s="202">
        <v>0.3</v>
      </c>
      <c r="M48" s="202">
        <v>0.3</v>
      </c>
      <c r="N48" s="202">
        <v>0.3</v>
      </c>
      <c r="O48" s="202">
        <v>0.3</v>
      </c>
      <c r="P48" s="202">
        <v>0.3</v>
      </c>
      <c r="Q48" s="202">
        <v>0.3</v>
      </c>
      <c r="R48" s="202">
        <v>0.1</v>
      </c>
      <c r="S48" s="202">
        <v>0.1</v>
      </c>
      <c r="T48" s="202">
        <v>0.1</v>
      </c>
      <c r="U48" s="202">
        <v>0.1</v>
      </c>
      <c r="V48" s="202">
        <v>0.1</v>
      </c>
      <c r="W48" s="202">
        <v>0.1</v>
      </c>
      <c r="X48" s="202">
        <v>0.1</v>
      </c>
      <c r="Y48" s="202">
        <v>0.1</v>
      </c>
      <c r="Z48" s="202">
        <v>0.1</v>
      </c>
      <c r="AA48" s="202">
        <v>0.1</v>
      </c>
      <c r="AB48" s="202">
        <v>0.1</v>
      </c>
      <c r="AC48" s="203">
        <v>0.1</v>
      </c>
    </row>
    <row r="49" spans="2:29" ht="15" customHeight="1" x14ac:dyDescent="0.3">
      <c r="B49" s="191" t="str">
        <f>$B$17</f>
        <v>Worst Case</v>
      </c>
      <c r="F49" s="204">
        <v>0</v>
      </c>
      <c r="G49" s="205">
        <v>0</v>
      </c>
      <c r="H49" s="205">
        <v>0</v>
      </c>
      <c r="I49" s="205">
        <v>0</v>
      </c>
      <c r="J49" s="205">
        <v>0</v>
      </c>
      <c r="K49" s="205">
        <v>0</v>
      </c>
      <c r="L49" s="205">
        <v>0</v>
      </c>
      <c r="M49" s="205">
        <v>0</v>
      </c>
      <c r="N49" s="205">
        <v>0</v>
      </c>
      <c r="O49" s="205">
        <v>0</v>
      </c>
      <c r="P49" s="205">
        <v>0</v>
      </c>
      <c r="Q49" s="205">
        <v>0</v>
      </c>
      <c r="R49" s="205">
        <v>0</v>
      </c>
      <c r="S49" s="205">
        <v>0</v>
      </c>
      <c r="T49" s="205">
        <v>0</v>
      </c>
      <c r="U49" s="205">
        <v>0</v>
      </c>
      <c r="V49" s="205">
        <v>0</v>
      </c>
      <c r="W49" s="205">
        <v>0</v>
      </c>
      <c r="X49" s="205">
        <v>0</v>
      </c>
      <c r="Y49" s="205">
        <v>0</v>
      </c>
      <c r="Z49" s="205">
        <v>0</v>
      </c>
      <c r="AA49" s="205">
        <v>0</v>
      </c>
      <c r="AB49" s="205">
        <v>0</v>
      </c>
      <c r="AC49" s="206">
        <v>0</v>
      </c>
    </row>
    <row r="50" spans="2:29" ht="15" customHeight="1" x14ac:dyDescent="0.3">
      <c r="B50" s="165"/>
      <c r="F50" s="196"/>
      <c r="G50" s="196"/>
      <c r="H50" s="196"/>
      <c r="I50" s="196"/>
      <c r="J50" s="196"/>
      <c r="L50" s="196"/>
      <c r="M50" s="196"/>
      <c r="N50" s="196"/>
      <c r="O50" s="196"/>
      <c r="P50" s="196"/>
      <c r="Q50" s="196"/>
      <c r="R50" s="196"/>
      <c r="S50" s="196"/>
      <c r="T50" s="196"/>
      <c r="U50" s="196"/>
      <c r="V50" s="196"/>
      <c r="W50" s="196"/>
      <c r="X50" s="196"/>
      <c r="Y50" s="196"/>
      <c r="Z50" s="196"/>
      <c r="AA50" s="196"/>
      <c r="AB50" s="196"/>
      <c r="AC50" s="196"/>
    </row>
    <row r="51" spans="2:29" ht="15" customHeight="1" x14ac:dyDescent="0.3">
      <c r="B51" s="174" t="s">
        <v>11</v>
      </c>
      <c r="F51" s="193" cm="1">
        <f t="array" ref="F51">INDEX(F53:F55,$D$8)</f>
        <v>0.5</v>
      </c>
      <c r="G51" s="194" cm="1">
        <f t="array" ref="G51">INDEX(G53:G55,$D$8)</f>
        <v>0.5</v>
      </c>
      <c r="H51" s="194" cm="1">
        <f t="array" ref="H51">INDEX(H53:H55,$D$8)</f>
        <v>0.5</v>
      </c>
      <c r="I51" s="194" cm="1">
        <f t="array" ref="I51">INDEX(I53:I55,$D$8)</f>
        <v>0.5</v>
      </c>
      <c r="J51" s="194" cm="1">
        <f t="array" ref="J51">INDEX(J53:J55,$D$8)</f>
        <v>0.5</v>
      </c>
      <c r="K51" s="194" cm="1">
        <f t="array" ref="K51">INDEX(K53:K55,$D$8)</f>
        <v>0.5</v>
      </c>
      <c r="L51" s="194" cm="1">
        <f t="array" ref="L51">INDEX(L53:L55,$D$8)</f>
        <v>0.5</v>
      </c>
      <c r="M51" s="194" cm="1">
        <f t="array" ref="M51">INDEX(M53:M55,$D$8)</f>
        <v>0.5</v>
      </c>
      <c r="N51" s="194" cm="1">
        <f t="array" ref="N51">INDEX(N53:N55,$D$8)</f>
        <v>0.5</v>
      </c>
      <c r="O51" s="194" cm="1">
        <f t="array" ref="O51">INDEX(O53:O55,$D$8)</f>
        <v>0.5</v>
      </c>
      <c r="P51" s="194" cm="1">
        <f t="array" ref="P51">INDEX(P53:P55,$D$8)</f>
        <v>0.5</v>
      </c>
      <c r="Q51" s="194" cm="1">
        <f t="array" ref="Q51">INDEX(Q53:Q55,$D$8)</f>
        <v>0.5</v>
      </c>
      <c r="R51" s="194" cm="1">
        <f t="array" ref="R51">INDEX(R53:R55,$D$8)</f>
        <v>0.25</v>
      </c>
      <c r="S51" s="194" cm="1">
        <f t="array" ref="S51">INDEX(S53:S55,$D$8)</f>
        <v>0.3</v>
      </c>
      <c r="T51" s="194" cm="1">
        <f t="array" ref="T51">INDEX(T53:T55,$D$8)</f>
        <v>0.3</v>
      </c>
      <c r="U51" s="194" cm="1">
        <f t="array" ref="U51">INDEX(U53:U55,$D$8)</f>
        <v>0.3</v>
      </c>
      <c r="V51" s="194" cm="1">
        <f t="array" ref="V51">INDEX(V53:V55,$D$8)</f>
        <v>0.3</v>
      </c>
      <c r="W51" s="194" cm="1">
        <f t="array" ref="W51">INDEX(W53:W55,$D$8)</f>
        <v>0.3</v>
      </c>
      <c r="X51" s="194" cm="1">
        <f t="array" ref="X51">INDEX(X53:X55,$D$8)</f>
        <v>0.3</v>
      </c>
      <c r="Y51" s="194" cm="1">
        <f t="array" ref="Y51">INDEX(Y53:Y55,$D$8)</f>
        <v>0.3</v>
      </c>
      <c r="Z51" s="194" cm="1">
        <f t="array" ref="Z51">INDEX(Z53:Z55,$D$8)</f>
        <v>0.3</v>
      </c>
      <c r="AA51" s="194" cm="1">
        <f t="array" ref="AA51">INDEX(AA53:AA55,$D$8)</f>
        <v>0.3</v>
      </c>
      <c r="AB51" s="194" cm="1">
        <f t="array" ref="AB51">INDEX(AB53:AB55,$D$8)</f>
        <v>0.3</v>
      </c>
      <c r="AC51" s="195" cm="1">
        <f t="array" ref="AC51">INDEX(AC53:AC55,$D$8)</f>
        <v>0.3</v>
      </c>
    </row>
    <row r="52" spans="2:29" ht="15" customHeight="1" x14ac:dyDescent="0.3">
      <c r="B52" s="165"/>
      <c r="F52" s="196"/>
      <c r="G52" s="196"/>
      <c r="H52" s="196"/>
      <c r="I52" s="197"/>
      <c r="J52" s="196"/>
      <c r="K52" s="196"/>
      <c r="L52" s="196"/>
      <c r="M52" s="196"/>
      <c r="N52" s="196"/>
      <c r="O52" s="196"/>
      <c r="P52" s="196"/>
      <c r="Q52" s="196"/>
      <c r="R52" s="196"/>
      <c r="S52" s="196"/>
      <c r="T52" s="196"/>
      <c r="U52" s="196"/>
      <c r="V52" s="196"/>
      <c r="W52" s="196"/>
      <c r="X52" s="196"/>
      <c r="Y52" s="196"/>
      <c r="Z52" s="196"/>
      <c r="AA52" s="196"/>
      <c r="AB52" s="196"/>
      <c r="AC52" s="196"/>
    </row>
    <row r="53" spans="2:29" ht="15" customHeight="1" x14ac:dyDescent="0.3">
      <c r="B53" s="190" t="str">
        <f>$B$15</f>
        <v>Best Case</v>
      </c>
      <c r="F53" s="207">
        <v>1</v>
      </c>
      <c r="G53" s="208">
        <v>1</v>
      </c>
      <c r="H53" s="208">
        <v>1</v>
      </c>
      <c r="I53" s="208">
        <v>1</v>
      </c>
      <c r="J53" s="208">
        <v>1</v>
      </c>
      <c r="K53" s="208">
        <v>1</v>
      </c>
      <c r="L53" s="208">
        <v>1</v>
      </c>
      <c r="M53" s="208">
        <v>1</v>
      </c>
      <c r="N53" s="208">
        <v>1</v>
      </c>
      <c r="O53" s="208">
        <v>1</v>
      </c>
      <c r="P53" s="208">
        <v>1</v>
      </c>
      <c r="Q53" s="208">
        <v>1</v>
      </c>
      <c r="R53" s="208">
        <v>1</v>
      </c>
      <c r="S53" s="208">
        <v>1</v>
      </c>
      <c r="T53" s="208">
        <v>1</v>
      </c>
      <c r="U53" s="208">
        <v>1</v>
      </c>
      <c r="V53" s="208">
        <v>1</v>
      </c>
      <c r="W53" s="208">
        <v>1</v>
      </c>
      <c r="X53" s="208">
        <v>1</v>
      </c>
      <c r="Y53" s="208">
        <v>1</v>
      </c>
      <c r="Z53" s="208">
        <v>1</v>
      </c>
      <c r="AA53" s="208">
        <v>1</v>
      </c>
      <c r="AB53" s="208">
        <v>1</v>
      </c>
      <c r="AC53" s="209">
        <v>1</v>
      </c>
    </row>
    <row r="54" spans="2:29" ht="15" customHeight="1" x14ac:dyDescent="0.3">
      <c r="B54" s="191" t="str">
        <f>$B$16</f>
        <v>Base Case</v>
      </c>
      <c r="F54" s="201">
        <v>0.5</v>
      </c>
      <c r="G54" s="202">
        <v>0.5</v>
      </c>
      <c r="H54" s="202">
        <v>0.5</v>
      </c>
      <c r="I54" s="202">
        <v>0.5</v>
      </c>
      <c r="J54" s="202">
        <v>0.5</v>
      </c>
      <c r="K54" s="202">
        <v>0.5</v>
      </c>
      <c r="L54" s="202">
        <v>0.5</v>
      </c>
      <c r="M54" s="202">
        <v>0.5</v>
      </c>
      <c r="N54" s="202">
        <v>0.5</v>
      </c>
      <c r="O54" s="202">
        <v>0.5</v>
      </c>
      <c r="P54" s="202">
        <v>0.5</v>
      </c>
      <c r="Q54" s="202">
        <v>0.5</v>
      </c>
      <c r="R54" s="210">
        <v>0.25</v>
      </c>
      <c r="S54" s="202">
        <v>0.3</v>
      </c>
      <c r="T54" s="202">
        <v>0.3</v>
      </c>
      <c r="U54" s="202">
        <v>0.3</v>
      </c>
      <c r="V54" s="202">
        <v>0.3</v>
      </c>
      <c r="W54" s="202">
        <v>0.3</v>
      </c>
      <c r="X54" s="202">
        <v>0.3</v>
      </c>
      <c r="Y54" s="202">
        <v>0.3</v>
      </c>
      <c r="Z54" s="202">
        <v>0.3</v>
      </c>
      <c r="AA54" s="202">
        <v>0.3</v>
      </c>
      <c r="AB54" s="202">
        <v>0.3</v>
      </c>
      <c r="AC54" s="203">
        <v>0.3</v>
      </c>
    </row>
    <row r="55" spans="2:29" ht="15" customHeight="1" x14ac:dyDescent="0.3">
      <c r="B55" s="191" t="str">
        <f>$B$17</f>
        <v>Worst Case</v>
      </c>
      <c r="F55" s="204">
        <v>0</v>
      </c>
      <c r="G55" s="205">
        <v>0</v>
      </c>
      <c r="H55" s="205">
        <v>0</v>
      </c>
      <c r="I55" s="205">
        <v>0</v>
      </c>
      <c r="J55" s="205">
        <v>0</v>
      </c>
      <c r="K55" s="205">
        <v>0</v>
      </c>
      <c r="L55" s="205">
        <v>0</v>
      </c>
      <c r="M55" s="205">
        <v>0</v>
      </c>
      <c r="N55" s="205">
        <v>0</v>
      </c>
      <c r="O55" s="205">
        <v>0</v>
      </c>
      <c r="P55" s="205">
        <v>0</v>
      </c>
      <c r="Q55" s="205">
        <v>0</v>
      </c>
      <c r="R55" s="205">
        <v>0</v>
      </c>
      <c r="S55" s="205">
        <v>0</v>
      </c>
      <c r="T55" s="205">
        <v>0</v>
      </c>
      <c r="U55" s="205">
        <v>0</v>
      </c>
      <c r="V55" s="205">
        <v>0</v>
      </c>
      <c r="W55" s="205">
        <v>0</v>
      </c>
      <c r="X55" s="205">
        <v>0</v>
      </c>
      <c r="Y55" s="205">
        <v>0</v>
      </c>
      <c r="Z55" s="205">
        <v>0</v>
      </c>
      <c r="AA55" s="205">
        <v>0</v>
      </c>
      <c r="AB55" s="205">
        <v>0</v>
      </c>
      <c r="AC55" s="206">
        <v>0</v>
      </c>
    </row>
    <row r="56" spans="2:29" ht="15" customHeight="1" x14ac:dyDescent="0.3">
      <c r="B56" s="165"/>
      <c r="F56" s="196"/>
      <c r="G56" s="196"/>
      <c r="H56" s="196"/>
      <c r="I56" s="196"/>
      <c r="J56" s="196"/>
      <c r="K56" s="196"/>
      <c r="L56" s="196"/>
      <c r="M56" s="196"/>
      <c r="N56" s="196"/>
      <c r="O56" s="196"/>
      <c r="P56" s="196"/>
      <c r="Q56" s="196"/>
      <c r="R56" s="196"/>
      <c r="S56" s="196"/>
      <c r="T56" s="196"/>
      <c r="U56" s="196"/>
      <c r="V56" s="196"/>
      <c r="W56" s="196"/>
      <c r="X56" s="196"/>
      <c r="Y56" s="196"/>
      <c r="Z56" s="196"/>
      <c r="AA56" s="196"/>
      <c r="AB56" s="196"/>
      <c r="AC56" s="196"/>
    </row>
    <row r="57" spans="2:29" ht="15" customHeight="1" x14ac:dyDescent="0.3">
      <c r="B57" s="174" t="s">
        <v>12</v>
      </c>
      <c r="F57" s="193" cm="1">
        <f t="array" ref="F57">INDEX(F59:F61,$D$8)</f>
        <v>1</v>
      </c>
      <c r="G57" s="194" cm="1">
        <f t="array" ref="G57">INDEX(G59:G61,$D$8)</f>
        <v>1</v>
      </c>
      <c r="H57" s="194" cm="1">
        <f t="array" ref="H57">INDEX(H59:H61,$D$8)</f>
        <v>1</v>
      </c>
      <c r="I57" s="194" cm="1">
        <f t="array" ref="I57">INDEX(I59:I61,$D$8)</f>
        <v>1</v>
      </c>
      <c r="J57" s="194" cm="1">
        <f t="array" ref="J57">INDEX(J59:J61,$D$8)</f>
        <v>1</v>
      </c>
      <c r="K57" s="194" cm="1">
        <f t="array" ref="K57">INDEX(K59:K61,$D$8)</f>
        <v>1</v>
      </c>
      <c r="L57" s="194" cm="1">
        <f t="array" ref="L57">INDEX(L59:L61,$D$8)</f>
        <v>1</v>
      </c>
      <c r="M57" s="194" cm="1">
        <f t="array" ref="M57">INDEX(M59:M61,$D$8)</f>
        <v>1</v>
      </c>
      <c r="N57" s="194" cm="1">
        <f t="array" ref="N57">INDEX(N59:N61,$D$8)</f>
        <v>1</v>
      </c>
      <c r="O57" s="194" cm="1">
        <f t="array" ref="O57">INDEX(O59:O61,$D$8)</f>
        <v>1</v>
      </c>
      <c r="P57" s="194" cm="1">
        <f t="array" ref="P57">INDEX(P59:P61,$D$8)</f>
        <v>1</v>
      </c>
      <c r="Q57" s="194" cm="1">
        <f t="array" ref="Q57">INDEX(Q59:Q61,$D$8)</f>
        <v>1</v>
      </c>
      <c r="R57" s="194" cm="1">
        <f t="array" ref="R57">INDEX(R59:R61,$D$8)</f>
        <v>0.5</v>
      </c>
      <c r="S57" s="194" cm="1">
        <f t="array" ref="S57">INDEX(S59:S61,$D$8)</f>
        <v>0.5</v>
      </c>
      <c r="T57" s="194" cm="1">
        <f t="array" ref="T57">INDEX(T59:T61,$D$8)</f>
        <v>0.5</v>
      </c>
      <c r="U57" s="194" cm="1">
        <f t="array" ref="U57">INDEX(U59:U61,$D$8)</f>
        <v>0.5</v>
      </c>
      <c r="V57" s="194" cm="1">
        <f t="array" ref="V57">INDEX(V59:V61,$D$8)</f>
        <v>0.5</v>
      </c>
      <c r="W57" s="194" cm="1">
        <f t="array" ref="W57">INDEX(W59:W61,$D$8)</f>
        <v>0.5</v>
      </c>
      <c r="X57" s="194" cm="1">
        <f t="array" ref="X57">INDEX(X59:X61,$D$8)</f>
        <v>0.5</v>
      </c>
      <c r="Y57" s="194" cm="1">
        <f t="array" ref="Y57">INDEX(Y59:Y61,$D$8)</f>
        <v>0.5</v>
      </c>
      <c r="Z57" s="194" cm="1">
        <f t="array" ref="Z57">INDEX(Z59:Z61,$D$8)</f>
        <v>0.5</v>
      </c>
      <c r="AA57" s="194" cm="1">
        <f t="array" ref="AA57">INDEX(AA59:AA61,$D$8)</f>
        <v>0.5</v>
      </c>
      <c r="AB57" s="194" cm="1">
        <f t="array" ref="AB57">INDEX(AB59:AB61,$D$8)</f>
        <v>0.5</v>
      </c>
      <c r="AC57" s="195" cm="1">
        <f t="array" ref="AC57">INDEX(AC59:AC61,$D$8)</f>
        <v>0.5</v>
      </c>
    </row>
    <row r="58" spans="2:29" ht="15" customHeight="1" x14ac:dyDescent="0.3">
      <c r="B58" s="165"/>
      <c r="F58" s="196"/>
      <c r="G58" s="196"/>
      <c r="H58" s="196"/>
      <c r="I58" s="197"/>
      <c r="J58" s="196"/>
      <c r="K58" s="196"/>
      <c r="L58" s="196"/>
      <c r="M58" s="196"/>
      <c r="N58" s="196"/>
      <c r="O58" s="196"/>
      <c r="P58" s="196"/>
      <c r="Q58" s="196"/>
      <c r="R58" s="196"/>
      <c r="S58" s="196"/>
      <c r="T58" s="196"/>
      <c r="U58" s="196"/>
      <c r="V58" s="196"/>
      <c r="W58" s="196"/>
      <c r="X58" s="196"/>
      <c r="Y58" s="196"/>
      <c r="Z58" s="196"/>
      <c r="AA58" s="196"/>
      <c r="AB58" s="196"/>
      <c r="AC58" s="196"/>
    </row>
    <row r="59" spans="2:29" ht="15" customHeight="1" x14ac:dyDescent="0.3">
      <c r="B59" s="190" t="str">
        <f>$B$15</f>
        <v>Best Case</v>
      </c>
      <c r="F59" s="207">
        <v>2</v>
      </c>
      <c r="G59" s="208">
        <v>2</v>
      </c>
      <c r="H59" s="208">
        <v>2</v>
      </c>
      <c r="I59" s="208">
        <v>2</v>
      </c>
      <c r="J59" s="208">
        <v>2</v>
      </c>
      <c r="K59" s="208">
        <v>2</v>
      </c>
      <c r="L59" s="208">
        <v>2</v>
      </c>
      <c r="M59" s="208">
        <v>2</v>
      </c>
      <c r="N59" s="208">
        <v>2</v>
      </c>
      <c r="O59" s="208">
        <v>2</v>
      </c>
      <c r="P59" s="208">
        <v>2</v>
      </c>
      <c r="Q59" s="208">
        <v>2</v>
      </c>
      <c r="R59" s="199">
        <v>1.5</v>
      </c>
      <c r="S59" s="199">
        <v>1.5</v>
      </c>
      <c r="T59" s="199">
        <v>1.5</v>
      </c>
      <c r="U59" s="199">
        <v>1.5</v>
      </c>
      <c r="V59" s="199">
        <v>1.5</v>
      </c>
      <c r="W59" s="199">
        <v>1.5</v>
      </c>
      <c r="X59" s="199">
        <v>1.5</v>
      </c>
      <c r="Y59" s="199">
        <v>1.5</v>
      </c>
      <c r="Z59" s="199">
        <v>1.5</v>
      </c>
      <c r="AA59" s="199">
        <v>1.5</v>
      </c>
      <c r="AB59" s="199">
        <v>1.5</v>
      </c>
      <c r="AC59" s="200">
        <v>1.5</v>
      </c>
    </row>
    <row r="60" spans="2:29" ht="15" customHeight="1" x14ac:dyDescent="0.3">
      <c r="B60" s="191" t="str">
        <f>$B$16</f>
        <v>Base Case</v>
      </c>
      <c r="F60" s="211">
        <v>1</v>
      </c>
      <c r="G60" s="212">
        <v>1</v>
      </c>
      <c r="H60" s="212">
        <v>1</v>
      </c>
      <c r="I60" s="212">
        <v>1</v>
      </c>
      <c r="J60" s="212">
        <v>1</v>
      </c>
      <c r="K60" s="212">
        <v>1</v>
      </c>
      <c r="L60" s="212">
        <v>1</v>
      </c>
      <c r="M60" s="212">
        <v>1</v>
      </c>
      <c r="N60" s="212">
        <v>1</v>
      </c>
      <c r="O60" s="212">
        <v>1</v>
      </c>
      <c r="P60" s="212">
        <v>1</v>
      </c>
      <c r="Q60" s="212">
        <v>1</v>
      </c>
      <c r="R60" s="202">
        <v>0.5</v>
      </c>
      <c r="S60" s="202">
        <v>0.5</v>
      </c>
      <c r="T60" s="202">
        <v>0.5</v>
      </c>
      <c r="U60" s="202">
        <v>0.5</v>
      </c>
      <c r="V60" s="202">
        <v>0.5</v>
      </c>
      <c r="W60" s="202">
        <v>0.5</v>
      </c>
      <c r="X60" s="202">
        <v>0.5</v>
      </c>
      <c r="Y60" s="202">
        <v>0.5</v>
      </c>
      <c r="Z60" s="202">
        <v>0.5</v>
      </c>
      <c r="AA60" s="202">
        <v>0.5</v>
      </c>
      <c r="AB60" s="202">
        <v>0.5</v>
      </c>
      <c r="AC60" s="203">
        <v>0.5</v>
      </c>
    </row>
    <row r="61" spans="2:29" ht="15" customHeight="1" x14ac:dyDescent="0.3">
      <c r="B61" s="191" t="str">
        <f>$B$17</f>
        <v>Worst Case</v>
      </c>
      <c r="F61" s="204">
        <v>0</v>
      </c>
      <c r="G61" s="205">
        <v>0</v>
      </c>
      <c r="H61" s="205">
        <v>0</v>
      </c>
      <c r="I61" s="205">
        <v>0</v>
      </c>
      <c r="J61" s="205">
        <v>0</v>
      </c>
      <c r="K61" s="205">
        <v>0</v>
      </c>
      <c r="L61" s="205">
        <v>0</v>
      </c>
      <c r="M61" s="205">
        <v>0</v>
      </c>
      <c r="N61" s="205">
        <v>0</v>
      </c>
      <c r="O61" s="205">
        <v>0</v>
      </c>
      <c r="P61" s="205">
        <v>0</v>
      </c>
      <c r="Q61" s="205">
        <v>0</v>
      </c>
      <c r="R61" s="205">
        <v>0</v>
      </c>
      <c r="S61" s="205">
        <v>0</v>
      </c>
      <c r="T61" s="205">
        <v>0</v>
      </c>
      <c r="U61" s="205">
        <v>0</v>
      </c>
      <c r="V61" s="205">
        <v>0</v>
      </c>
      <c r="W61" s="205">
        <v>0</v>
      </c>
      <c r="X61" s="205">
        <v>0</v>
      </c>
      <c r="Y61" s="205">
        <v>0</v>
      </c>
      <c r="Z61" s="205">
        <v>0</v>
      </c>
      <c r="AA61" s="205">
        <v>0</v>
      </c>
      <c r="AB61" s="205">
        <v>0</v>
      </c>
      <c r="AC61" s="206">
        <v>0</v>
      </c>
    </row>
    <row r="62" spans="2:29" ht="15" customHeight="1" x14ac:dyDescent="0.3">
      <c r="B62" s="165"/>
      <c r="F62" s="196"/>
      <c r="G62" s="196"/>
      <c r="H62" s="196"/>
      <c r="I62" s="196"/>
      <c r="J62" s="196"/>
      <c r="K62" s="196"/>
      <c r="L62" s="196"/>
      <c r="M62" s="196"/>
      <c r="N62" s="196"/>
      <c r="O62" s="196"/>
      <c r="P62" s="196"/>
      <c r="Q62" s="196"/>
      <c r="R62" s="196"/>
      <c r="S62" s="196"/>
      <c r="T62" s="196"/>
      <c r="U62" s="196"/>
      <c r="V62" s="196"/>
      <c r="W62" s="196"/>
      <c r="X62" s="196"/>
      <c r="Y62" s="196"/>
      <c r="Z62" s="196"/>
      <c r="AA62" s="196"/>
      <c r="AB62" s="196"/>
      <c r="AC62" s="196"/>
    </row>
    <row r="63" spans="2:29" ht="15" customHeight="1" x14ac:dyDescent="0.3">
      <c r="B63" s="174" t="s">
        <v>13</v>
      </c>
      <c r="F63" s="193" cm="1">
        <f t="array" ref="F63">INDEX(F65:F67,$D$8)</f>
        <v>0.3</v>
      </c>
      <c r="G63" s="194" cm="1">
        <f t="array" ref="G63">INDEX(G65:G67,$D$8)</f>
        <v>0.3</v>
      </c>
      <c r="H63" s="194" cm="1">
        <f t="array" ref="H63">INDEX(H65:H67,$D$8)</f>
        <v>0.3</v>
      </c>
      <c r="I63" s="194" cm="1">
        <f t="array" ref="I63">INDEX(I65:I67,$D$8)</f>
        <v>0.3</v>
      </c>
      <c r="J63" s="194" cm="1">
        <f t="array" ref="J63">INDEX(J65:J67,$D$8)</f>
        <v>0.3</v>
      </c>
      <c r="K63" s="194" cm="1">
        <f t="array" ref="K63">INDEX(K65:K67,$D$8)</f>
        <v>0.3</v>
      </c>
      <c r="L63" s="194" cm="1">
        <f t="array" ref="L63">INDEX(L65:L67,$D$8)</f>
        <v>0.3</v>
      </c>
      <c r="M63" s="194" cm="1">
        <f t="array" ref="M63">INDEX(M65:M67,$D$8)</f>
        <v>0.3</v>
      </c>
      <c r="N63" s="194" cm="1">
        <f t="array" ref="N63">INDEX(N65:N67,$D$8)</f>
        <v>0.3</v>
      </c>
      <c r="O63" s="194" cm="1">
        <f t="array" ref="O63">INDEX(O65:O67,$D$8)</f>
        <v>0.3</v>
      </c>
      <c r="P63" s="194" cm="1">
        <f t="array" ref="P63">INDEX(P65:P67,$D$8)</f>
        <v>0.3</v>
      </c>
      <c r="Q63" s="194" cm="1">
        <f t="array" ref="Q63">INDEX(Q65:Q67,$D$8)</f>
        <v>0.3</v>
      </c>
      <c r="R63" s="194" cm="1">
        <f t="array" ref="R63">INDEX(R65:R67,$D$8)</f>
        <v>0.1</v>
      </c>
      <c r="S63" s="194" cm="1">
        <f t="array" ref="S63">INDEX(S65:S67,$D$8)</f>
        <v>0.1</v>
      </c>
      <c r="T63" s="194" cm="1">
        <f t="array" ref="T63">INDEX(T65:T67,$D$8)</f>
        <v>0.1</v>
      </c>
      <c r="U63" s="194" cm="1">
        <f t="array" ref="U63">INDEX(U65:U67,$D$8)</f>
        <v>0.1</v>
      </c>
      <c r="V63" s="194" cm="1">
        <f t="array" ref="V63">INDEX(V65:V67,$D$8)</f>
        <v>0.1</v>
      </c>
      <c r="W63" s="194" cm="1">
        <f t="array" ref="W63">INDEX(W65:W67,$D$8)</f>
        <v>0.1</v>
      </c>
      <c r="X63" s="194" cm="1">
        <f t="array" ref="X63">INDEX(X65:X67,$D$8)</f>
        <v>0.1</v>
      </c>
      <c r="Y63" s="194" cm="1">
        <f t="array" ref="Y63">INDEX(Y65:Y67,$D$8)</f>
        <v>0.1</v>
      </c>
      <c r="Z63" s="194" cm="1">
        <f t="array" ref="Z63">INDEX(Z65:Z67,$D$8)</f>
        <v>0.1</v>
      </c>
      <c r="AA63" s="194" cm="1">
        <f t="array" ref="AA63">INDEX(AA65:AA67,$D$8)</f>
        <v>0.1</v>
      </c>
      <c r="AB63" s="194" cm="1">
        <f t="array" ref="AB63">INDEX(AB65:AB67,$D$8)</f>
        <v>0.1</v>
      </c>
      <c r="AC63" s="195" cm="1">
        <f t="array" ref="AC63">INDEX(AC65:AC67,$D$8)</f>
        <v>0.1</v>
      </c>
    </row>
    <row r="64" spans="2:29" ht="15" customHeight="1" x14ac:dyDescent="0.3">
      <c r="B64" s="165"/>
      <c r="F64" s="196"/>
      <c r="G64" s="196"/>
      <c r="H64" s="196"/>
      <c r="I64" s="197"/>
      <c r="J64" s="196"/>
      <c r="K64" s="196"/>
      <c r="L64" s="196"/>
      <c r="M64" s="196"/>
      <c r="N64" s="196"/>
      <c r="O64" s="196"/>
      <c r="P64" s="196"/>
      <c r="Q64" s="196"/>
      <c r="R64" s="196"/>
      <c r="S64" s="196"/>
      <c r="T64" s="196"/>
      <c r="U64" s="196"/>
      <c r="V64" s="196"/>
      <c r="W64" s="196"/>
      <c r="X64" s="196"/>
      <c r="Y64" s="196"/>
      <c r="Z64" s="196"/>
      <c r="AA64" s="196"/>
      <c r="AB64" s="196"/>
      <c r="AC64" s="196"/>
    </row>
    <row r="65" spans="2:29" ht="15" customHeight="1" x14ac:dyDescent="0.3">
      <c r="B65" s="190" t="str">
        <f>$B$15</f>
        <v>Best Case</v>
      </c>
      <c r="F65" s="207">
        <v>1</v>
      </c>
      <c r="G65" s="208">
        <v>1</v>
      </c>
      <c r="H65" s="208">
        <v>1</v>
      </c>
      <c r="I65" s="208">
        <v>1</v>
      </c>
      <c r="J65" s="208">
        <v>1</v>
      </c>
      <c r="K65" s="208">
        <v>1</v>
      </c>
      <c r="L65" s="208">
        <v>1</v>
      </c>
      <c r="M65" s="208">
        <v>1</v>
      </c>
      <c r="N65" s="208">
        <v>1</v>
      </c>
      <c r="O65" s="208">
        <v>1</v>
      </c>
      <c r="P65" s="208">
        <v>1</v>
      </c>
      <c r="Q65" s="208">
        <v>1</v>
      </c>
      <c r="R65" s="199">
        <v>0.5</v>
      </c>
      <c r="S65" s="199">
        <v>0.5</v>
      </c>
      <c r="T65" s="199">
        <v>0.5</v>
      </c>
      <c r="U65" s="199">
        <v>0.5</v>
      </c>
      <c r="V65" s="199">
        <v>0.5</v>
      </c>
      <c r="W65" s="199">
        <v>0.5</v>
      </c>
      <c r="X65" s="199">
        <v>0.5</v>
      </c>
      <c r="Y65" s="199">
        <v>0.5</v>
      </c>
      <c r="Z65" s="199">
        <v>0.5</v>
      </c>
      <c r="AA65" s="199">
        <v>0.5</v>
      </c>
      <c r="AB65" s="199">
        <v>0.5</v>
      </c>
      <c r="AC65" s="200">
        <v>0.5</v>
      </c>
    </row>
    <row r="66" spans="2:29" ht="15" customHeight="1" x14ac:dyDescent="0.3">
      <c r="B66" s="191" t="str">
        <f>$B$16</f>
        <v>Base Case</v>
      </c>
      <c r="F66" s="201">
        <v>0.3</v>
      </c>
      <c r="G66" s="202">
        <v>0.3</v>
      </c>
      <c r="H66" s="202">
        <v>0.3</v>
      </c>
      <c r="I66" s="202">
        <v>0.3</v>
      </c>
      <c r="J66" s="202">
        <v>0.3</v>
      </c>
      <c r="K66" s="202">
        <v>0.3</v>
      </c>
      <c r="L66" s="202">
        <v>0.3</v>
      </c>
      <c r="M66" s="202">
        <v>0.3</v>
      </c>
      <c r="N66" s="202">
        <v>0.3</v>
      </c>
      <c r="O66" s="202">
        <v>0.3</v>
      </c>
      <c r="P66" s="202">
        <v>0.3</v>
      </c>
      <c r="Q66" s="202">
        <v>0.3</v>
      </c>
      <c r="R66" s="202">
        <v>0.1</v>
      </c>
      <c r="S66" s="202">
        <v>0.1</v>
      </c>
      <c r="T66" s="202">
        <v>0.1</v>
      </c>
      <c r="U66" s="202">
        <v>0.1</v>
      </c>
      <c r="V66" s="202">
        <v>0.1</v>
      </c>
      <c r="W66" s="202">
        <v>0.1</v>
      </c>
      <c r="X66" s="202">
        <v>0.1</v>
      </c>
      <c r="Y66" s="202">
        <v>0.1</v>
      </c>
      <c r="Z66" s="202">
        <v>0.1</v>
      </c>
      <c r="AA66" s="202">
        <v>0.1</v>
      </c>
      <c r="AB66" s="202">
        <v>0.1</v>
      </c>
      <c r="AC66" s="203">
        <v>0.1</v>
      </c>
    </row>
    <row r="67" spans="2:29" ht="15" customHeight="1" x14ac:dyDescent="0.3">
      <c r="B67" s="191" t="str">
        <f>$B$17</f>
        <v>Worst Case</v>
      </c>
      <c r="F67" s="204">
        <v>0</v>
      </c>
      <c r="G67" s="205">
        <v>0</v>
      </c>
      <c r="H67" s="205">
        <v>0</v>
      </c>
      <c r="I67" s="205">
        <v>0</v>
      </c>
      <c r="J67" s="205">
        <v>0</v>
      </c>
      <c r="K67" s="205">
        <v>0</v>
      </c>
      <c r="L67" s="205">
        <v>0</v>
      </c>
      <c r="M67" s="205">
        <v>0</v>
      </c>
      <c r="N67" s="205">
        <v>0</v>
      </c>
      <c r="O67" s="205">
        <v>0</v>
      </c>
      <c r="P67" s="205">
        <v>0</v>
      </c>
      <c r="Q67" s="205">
        <v>0</v>
      </c>
      <c r="R67" s="205">
        <v>0</v>
      </c>
      <c r="S67" s="205">
        <v>0</v>
      </c>
      <c r="T67" s="205">
        <v>0</v>
      </c>
      <c r="U67" s="205">
        <v>0</v>
      </c>
      <c r="V67" s="205">
        <v>0</v>
      </c>
      <c r="W67" s="205">
        <v>0</v>
      </c>
      <c r="X67" s="205">
        <v>0</v>
      </c>
      <c r="Y67" s="205">
        <v>0</v>
      </c>
      <c r="Z67" s="205">
        <v>0</v>
      </c>
      <c r="AA67" s="205">
        <v>0</v>
      </c>
      <c r="AB67" s="205">
        <v>0</v>
      </c>
      <c r="AC67" s="206">
        <v>0</v>
      </c>
    </row>
    <row r="68" spans="2:29" ht="15" customHeight="1" x14ac:dyDescent="0.3">
      <c r="B68" s="165"/>
    </row>
    <row r="69" spans="2:29" ht="15" customHeight="1" x14ac:dyDescent="0.3">
      <c r="B69" s="213" t="s">
        <v>7</v>
      </c>
      <c r="F69" s="214">
        <v>0.22</v>
      </c>
      <c r="G69" s="215">
        <v>0.22</v>
      </c>
      <c r="H69" s="215">
        <v>0.22</v>
      </c>
      <c r="I69" s="215">
        <v>0.22</v>
      </c>
      <c r="J69" s="215">
        <v>0.22</v>
      </c>
      <c r="K69" s="215">
        <v>0.22</v>
      </c>
      <c r="L69" s="215">
        <v>0.22</v>
      </c>
      <c r="M69" s="215">
        <v>0.22</v>
      </c>
      <c r="N69" s="215">
        <v>0.22</v>
      </c>
      <c r="O69" s="215">
        <v>0.22</v>
      </c>
      <c r="P69" s="215">
        <v>0.22</v>
      </c>
      <c r="Q69" s="215">
        <v>0.22</v>
      </c>
      <c r="R69" s="215">
        <v>0.22</v>
      </c>
      <c r="S69" s="215">
        <v>0.22</v>
      </c>
      <c r="T69" s="215">
        <v>0.22</v>
      </c>
      <c r="U69" s="215">
        <v>0.22</v>
      </c>
      <c r="V69" s="215">
        <v>0.22</v>
      </c>
      <c r="W69" s="215">
        <v>0.22</v>
      </c>
      <c r="X69" s="215">
        <v>0.22</v>
      </c>
      <c r="Y69" s="215">
        <v>0.22</v>
      </c>
      <c r="Z69" s="215">
        <v>0.22</v>
      </c>
      <c r="AA69" s="215">
        <v>0.22</v>
      </c>
      <c r="AB69" s="215">
        <v>0.22</v>
      </c>
      <c r="AC69" s="216">
        <v>0.22</v>
      </c>
    </row>
    <row r="70" spans="2:29" ht="15" customHeight="1" x14ac:dyDescent="0.3">
      <c r="B70" s="213"/>
      <c r="F70" s="217"/>
      <c r="G70" s="217"/>
      <c r="H70" s="217"/>
      <c r="I70" s="217"/>
      <c r="J70" s="217"/>
      <c r="K70" s="217"/>
      <c r="L70" s="217"/>
      <c r="M70" s="217"/>
      <c r="N70" s="217"/>
      <c r="O70" s="217"/>
      <c r="P70" s="217"/>
      <c r="Q70" s="217"/>
      <c r="R70" s="217"/>
      <c r="S70" s="217"/>
      <c r="T70" s="217"/>
      <c r="U70" s="217"/>
      <c r="V70" s="217"/>
      <c r="W70" s="217"/>
      <c r="X70" s="217"/>
      <c r="Y70" s="217"/>
      <c r="Z70" s="217"/>
      <c r="AA70" s="217"/>
      <c r="AB70" s="217"/>
      <c r="AC70" s="217"/>
    </row>
    <row r="71" spans="2:29" ht="15" customHeight="1" x14ac:dyDescent="0.3">
      <c r="B71" s="213" t="s">
        <v>8</v>
      </c>
      <c r="F71" s="218">
        <v>70</v>
      </c>
      <c r="G71" s="219">
        <v>70</v>
      </c>
      <c r="H71" s="219">
        <v>70</v>
      </c>
      <c r="I71" s="219">
        <v>70</v>
      </c>
      <c r="J71" s="219">
        <v>70</v>
      </c>
      <c r="K71" s="219">
        <v>70</v>
      </c>
      <c r="L71" s="219">
        <v>70</v>
      </c>
      <c r="M71" s="219">
        <v>70</v>
      </c>
      <c r="N71" s="219">
        <v>70</v>
      </c>
      <c r="O71" s="219">
        <v>70</v>
      </c>
      <c r="P71" s="219">
        <v>70</v>
      </c>
      <c r="Q71" s="219">
        <v>70</v>
      </c>
      <c r="R71" s="219">
        <v>70</v>
      </c>
      <c r="S71" s="219">
        <v>70</v>
      </c>
      <c r="T71" s="219">
        <v>70</v>
      </c>
      <c r="U71" s="219">
        <v>70</v>
      </c>
      <c r="V71" s="219">
        <v>70</v>
      </c>
      <c r="W71" s="219">
        <v>70</v>
      </c>
      <c r="X71" s="219">
        <v>70</v>
      </c>
      <c r="Y71" s="219">
        <v>70</v>
      </c>
      <c r="Z71" s="219">
        <v>70</v>
      </c>
      <c r="AA71" s="219">
        <v>70</v>
      </c>
      <c r="AB71" s="219">
        <v>70</v>
      </c>
      <c r="AC71" s="220">
        <v>70</v>
      </c>
    </row>
    <row r="72" spans="2:29" ht="15" customHeight="1" x14ac:dyDescent="0.3">
      <c r="B72" s="213"/>
      <c r="F72" s="212"/>
      <c r="G72" s="212"/>
      <c r="H72" s="212"/>
      <c r="I72" s="212"/>
      <c r="J72" s="212"/>
      <c r="K72" s="212"/>
      <c r="L72" s="212"/>
      <c r="M72" s="212"/>
      <c r="N72" s="212"/>
      <c r="O72" s="212"/>
      <c r="P72" s="212"/>
      <c r="Q72" s="212"/>
      <c r="R72" s="212"/>
      <c r="S72" s="212"/>
      <c r="T72" s="212"/>
      <c r="U72" s="212"/>
      <c r="V72" s="212"/>
      <c r="W72" s="212"/>
      <c r="X72" s="212"/>
      <c r="Y72" s="212"/>
      <c r="Z72" s="212"/>
      <c r="AA72" s="212"/>
      <c r="AB72" s="212"/>
      <c r="AC72" s="212"/>
    </row>
    <row r="73" spans="2:29" ht="15" customHeight="1" x14ac:dyDescent="0.3">
      <c r="B73" s="213" t="s">
        <v>35</v>
      </c>
      <c r="F73" s="218">
        <v>45</v>
      </c>
      <c r="G73" s="219">
        <v>45</v>
      </c>
      <c r="H73" s="219">
        <v>45</v>
      </c>
      <c r="I73" s="219">
        <v>45</v>
      </c>
      <c r="J73" s="219">
        <v>45</v>
      </c>
      <c r="K73" s="219">
        <v>45</v>
      </c>
      <c r="L73" s="219">
        <v>45</v>
      </c>
      <c r="M73" s="219">
        <v>45</v>
      </c>
      <c r="N73" s="219">
        <v>45</v>
      </c>
      <c r="O73" s="219">
        <v>45</v>
      </c>
      <c r="P73" s="219">
        <v>45</v>
      </c>
      <c r="Q73" s="219">
        <v>45</v>
      </c>
      <c r="R73" s="219">
        <v>45</v>
      </c>
      <c r="S73" s="219">
        <v>45</v>
      </c>
      <c r="T73" s="219">
        <v>45</v>
      </c>
      <c r="U73" s="219">
        <v>45</v>
      </c>
      <c r="V73" s="219">
        <v>45</v>
      </c>
      <c r="W73" s="219">
        <v>45</v>
      </c>
      <c r="X73" s="219">
        <v>45</v>
      </c>
      <c r="Y73" s="219">
        <v>45</v>
      </c>
      <c r="Z73" s="219">
        <v>45</v>
      </c>
      <c r="AA73" s="219">
        <v>45</v>
      </c>
      <c r="AB73" s="219">
        <v>45</v>
      </c>
      <c r="AC73" s="220">
        <v>45</v>
      </c>
    </row>
    <row r="74" spans="2:29" ht="15" customHeight="1" x14ac:dyDescent="0.3">
      <c r="B74" s="213"/>
      <c r="F74" s="221"/>
      <c r="G74" s="221"/>
      <c r="H74" s="221"/>
      <c r="I74" s="221"/>
      <c r="J74" s="221"/>
      <c r="K74" s="221"/>
      <c r="L74" s="221"/>
      <c r="M74" s="221"/>
      <c r="N74" s="221"/>
      <c r="O74" s="221"/>
      <c r="P74" s="221"/>
      <c r="Q74" s="221"/>
      <c r="R74" s="221"/>
      <c r="S74" s="221"/>
      <c r="T74" s="221"/>
      <c r="U74" s="221"/>
      <c r="V74" s="221"/>
      <c r="W74" s="221"/>
      <c r="X74" s="221"/>
      <c r="Y74" s="221"/>
      <c r="Z74" s="221"/>
      <c r="AA74" s="221"/>
      <c r="AB74" s="221"/>
      <c r="AC74" s="221"/>
    </row>
    <row r="75" spans="2:29" ht="15" customHeight="1" x14ac:dyDescent="0.3">
      <c r="B75" s="213" t="s">
        <v>9</v>
      </c>
      <c r="F75" s="218">
        <v>58</v>
      </c>
      <c r="G75" s="219">
        <v>58</v>
      </c>
      <c r="H75" s="219">
        <v>58</v>
      </c>
      <c r="I75" s="219">
        <v>58</v>
      </c>
      <c r="J75" s="219">
        <v>58</v>
      </c>
      <c r="K75" s="219">
        <v>58</v>
      </c>
      <c r="L75" s="219">
        <v>58</v>
      </c>
      <c r="M75" s="219">
        <v>58</v>
      </c>
      <c r="N75" s="219">
        <v>58</v>
      </c>
      <c r="O75" s="219">
        <v>58</v>
      </c>
      <c r="P75" s="219">
        <v>58</v>
      </c>
      <c r="Q75" s="219">
        <v>58</v>
      </c>
      <c r="R75" s="219">
        <v>58</v>
      </c>
      <c r="S75" s="219">
        <v>58</v>
      </c>
      <c r="T75" s="219">
        <v>58</v>
      </c>
      <c r="U75" s="219">
        <v>58</v>
      </c>
      <c r="V75" s="219">
        <v>58</v>
      </c>
      <c r="W75" s="219">
        <v>58</v>
      </c>
      <c r="X75" s="219">
        <v>58</v>
      </c>
      <c r="Y75" s="219">
        <v>58</v>
      </c>
      <c r="Z75" s="219">
        <v>58</v>
      </c>
      <c r="AA75" s="219">
        <v>58</v>
      </c>
      <c r="AB75" s="219">
        <v>58</v>
      </c>
      <c r="AC75" s="220">
        <v>58</v>
      </c>
    </row>
    <row r="76" spans="2:29" ht="15" customHeight="1" x14ac:dyDescent="0.3">
      <c r="B76" s="213"/>
      <c r="F76" s="221"/>
      <c r="G76" s="221"/>
      <c r="H76" s="221"/>
      <c r="I76" s="221"/>
      <c r="J76" s="221"/>
      <c r="K76" s="221"/>
      <c r="L76" s="221"/>
      <c r="M76" s="221"/>
      <c r="N76" s="221"/>
      <c r="O76" s="221"/>
      <c r="P76" s="221"/>
      <c r="Q76" s="221"/>
      <c r="R76" s="221"/>
      <c r="S76" s="221"/>
      <c r="T76" s="221"/>
      <c r="U76" s="221"/>
      <c r="V76" s="221"/>
      <c r="W76" s="221"/>
      <c r="X76" s="221"/>
      <c r="Y76" s="221"/>
      <c r="Z76" s="221"/>
      <c r="AA76" s="221"/>
      <c r="AB76" s="221"/>
      <c r="AC76" s="221"/>
    </row>
    <row r="77" spans="2:29" ht="15" customHeight="1" x14ac:dyDescent="0.3">
      <c r="B77" s="213" t="s">
        <v>19</v>
      </c>
      <c r="F77" s="218">
        <v>85</v>
      </c>
      <c r="G77" s="219">
        <v>85</v>
      </c>
      <c r="H77" s="219">
        <v>85</v>
      </c>
      <c r="I77" s="219">
        <v>85</v>
      </c>
      <c r="J77" s="219">
        <v>85</v>
      </c>
      <c r="K77" s="219">
        <v>85</v>
      </c>
      <c r="L77" s="219">
        <v>85</v>
      </c>
      <c r="M77" s="219">
        <v>85</v>
      </c>
      <c r="N77" s="219">
        <v>85</v>
      </c>
      <c r="O77" s="219">
        <v>85</v>
      </c>
      <c r="P77" s="219">
        <v>85</v>
      </c>
      <c r="Q77" s="219">
        <v>85</v>
      </c>
      <c r="R77" s="219">
        <v>85</v>
      </c>
      <c r="S77" s="219">
        <v>85</v>
      </c>
      <c r="T77" s="219">
        <v>85</v>
      </c>
      <c r="U77" s="219">
        <v>85</v>
      </c>
      <c r="V77" s="219">
        <v>85</v>
      </c>
      <c r="W77" s="219">
        <v>85</v>
      </c>
      <c r="X77" s="219">
        <v>85</v>
      </c>
      <c r="Y77" s="219">
        <v>85</v>
      </c>
      <c r="Z77" s="219">
        <v>85</v>
      </c>
      <c r="AA77" s="219">
        <v>85</v>
      </c>
      <c r="AB77" s="219">
        <v>85</v>
      </c>
      <c r="AC77" s="220">
        <v>85</v>
      </c>
    </row>
    <row r="78" spans="2:29" ht="15" customHeight="1" x14ac:dyDescent="0.3">
      <c r="B78" s="213"/>
      <c r="F78" s="221"/>
      <c r="G78" s="221"/>
      <c r="H78" s="221"/>
      <c r="I78" s="221"/>
      <c r="J78" s="221"/>
      <c r="K78" s="221"/>
      <c r="L78" s="221"/>
      <c r="M78" s="221"/>
      <c r="N78" s="221"/>
      <c r="O78" s="221"/>
      <c r="P78" s="221"/>
      <c r="Q78" s="221"/>
      <c r="R78" s="221"/>
      <c r="S78" s="221"/>
      <c r="T78" s="221"/>
      <c r="U78" s="221"/>
      <c r="V78" s="221"/>
      <c r="W78" s="221"/>
      <c r="X78" s="221"/>
      <c r="Y78" s="221"/>
      <c r="Z78" s="221"/>
      <c r="AA78" s="221"/>
      <c r="AB78" s="221"/>
      <c r="AC78" s="221"/>
    </row>
    <row r="79" spans="2:29" ht="15" customHeight="1" x14ac:dyDescent="0.3">
      <c r="B79" s="213" t="s">
        <v>20</v>
      </c>
      <c r="F79" s="218">
        <v>65</v>
      </c>
      <c r="G79" s="219">
        <v>65</v>
      </c>
      <c r="H79" s="219">
        <v>65</v>
      </c>
      <c r="I79" s="219">
        <v>65</v>
      </c>
      <c r="J79" s="219">
        <v>65</v>
      </c>
      <c r="K79" s="219">
        <v>65</v>
      </c>
      <c r="L79" s="219">
        <v>65</v>
      </c>
      <c r="M79" s="219">
        <v>65</v>
      </c>
      <c r="N79" s="219">
        <v>65</v>
      </c>
      <c r="O79" s="219">
        <v>65</v>
      </c>
      <c r="P79" s="219">
        <v>65</v>
      </c>
      <c r="Q79" s="219">
        <v>65</v>
      </c>
      <c r="R79" s="219">
        <v>65</v>
      </c>
      <c r="S79" s="219">
        <v>65</v>
      </c>
      <c r="T79" s="219">
        <v>65</v>
      </c>
      <c r="U79" s="219">
        <v>65</v>
      </c>
      <c r="V79" s="219">
        <v>65</v>
      </c>
      <c r="W79" s="219">
        <v>65</v>
      </c>
      <c r="X79" s="219">
        <v>65</v>
      </c>
      <c r="Y79" s="219">
        <v>65</v>
      </c>
      <c r="Z79" s="219">
        <v>65</v>
      </c>
      <c r="AA79" s="219">
        <v>65</v>
      </c>
      <c r="AB79" s="219">
        <v>65</v>
      </c>
      <c r="AC79" s="220">
        <v>65</v>
      </c>
    </row>
    <row r="80" spans="2:29" ht="15" customHeight="1" x14ac:dyDescent="0.3">
      <c r="B80" s="165"/>
    </row>
    <row r="81" spans="2:29" ht="15" customHeight="1" x14ac:dyDescent="0.3">
      <c r="B81" s="222" t="s">
        <v>215</v>
      </c>
    </row>
    <row r="82" spans="2:29" ht="15" customHeight="1" x14ac:dyDescent="0.3">
      <c r="B82" s="222"/>
    </row>
    <row r="83" spans="2:29" ht="15" customHeight="1" x14ac:dyDescent="0.3">
      <c r="B83" s="174" t="s">
        <v>216</v>
      </c>
      <c r="F83" s="223" cm="1">
        <f t="array" ref="F83">INDEX(F85:F87,$D$8)</f>
        <v>0.05</v>
      </c>
      <c r="G83" s="224" cm="1">
        <f t="array" ref="G83">INDEX(G85:G87,$D$8)</f>
        <v>0.05</v>
      </c>
      <c r="H83" s="224" cm="1">
        <f t="array" ref="H83">INDEX(H85:H87,$D$8)</f>
        <v>0.05</v>
      </c>
      <c r="I83" s="224" cm="1">
        <f t="array" ref="I83">INDEX(I85:I87,$D$8)</f>
        <v>0.05</v>
      </c>
      <c r="J83" s="224" cm="1">
        <f t="array" ref="J83">INDEX(J85:J87,$D$8)</f>
        <v>0.05</v>
      </c>
      <c r="K83" s="224" cm="1">
        <f t="array" ref="K83">INDEX(K85:K87,$D$8)</f>
        <v>0.05</v>
      </c>
      <c r="L83" s="224" cm="1">
        <f t="array" ref="L83">INDEX(L85:L87,$D$8)</f>
        <v>0.05</v>
      </c>
      <c r="M83" s="224" cm="1">
        <f t="array" ref="M83">INDEX(M85:M87,$D$8)</f>
        <v>0.05</v>
      </c>
      <c r="N83" s="224" cm="1">
        <f t="array" ref="N83">INDEX(N85:N87,$D$8)</f>
        <v>0.05</v>
      </c>
      <c r="O83" s="224" cm="1">
        <f t="array" ref="O83">INDEX(O85:O87,$D$8)</f>
        <v>0.05</v>
      </c>
      <c r="P83" s="224" cm="1">
        <f t="array" ref="P83">INDEX(P85:P87,$D$8)</f>
        <v>0.05</v>
      </c>
      <c r="Q83" s="224" cm="1">
        <f t="array" ref="Q83">INDEX(Q85:Q87,$D$8)</f>
        <v>0.05</v>
      </c>
      <c r="R83" s="224" cm="1">
        <f t="array" ref="R83">INDEX(R85:R87,$D$8)</f>
        <v>0.05</v>
      </c>
      <c r="S83" s="224" cm="1">
        <f t="array" ref="S83">INDEX(S85:S87,$D$8)</f>
        <v>0.05</v>
      </c>
      <c r="T83" s="224" cm="1">
        <f t="array" ref="T83">INDEX(T85:T87,$D$8)</f>
        <v>0.05</v>
      </c>
      <c r="U83" s="224" cm="1">
        <f t="array" ref="U83">INDEX(U85:U87,$D$8)</f>
        <v>0.05</v>
      </c>
      <c r="V83" s="224" cm="1">
        <f t="array" ref="V83">INDEX(V85:V87,$D$8)</f>
        <v>0.05</v>
      </c>
      <c r="W83" s="224" cm="1">
        <f t="array" ref="W83">INDEX(W85:W87,$D$8)</f>
        <v>0.05</v>
      </c>
      <c r="X83" s="224" cm="1">
        <f t="array" ref="X83">INDEX(X85:X87,$D$8)</f>
        <v>0.05</v>
      </c>
      <c r="Y83" s="224" cm="1">
        <f t="array" ref="Y83">INDEX(Y85:Y87,$D$8)</f>
        <v>0.05</v>
      </c>
      <c r="Z83" s="224" cm="1">
        <f t="array" ref="Z83">INDEX(Z85:Z87,$D$8)</f>
        <v>0.05</v>
      </c>
      <c r="AA83" s="224" cm="1">
        <f t="array" ref="AA83">INDEX(AA85:AA87,$D$8)</f>
        <v>0.05</v>
      </c>
      <c r="AB83" s="224" cm="1">
        <f t="array" ref="AB83">INDEX(AB85:AB87,$D$8)</f>
        <v>0.05</v>
      </c>
      <c r="AC83" s="225" cm="1">
        <f t="array" ref="AC83">INDEX(AC85:AC87,$D$8)</f>
        <v>0.05</v>
      </c>
    </row>
    <row r="84" spans="2:29" ht="15" customHeight="1" x14ac:dyDescent="0.3">
      <c r="B84" s="174"/>
      <c r="F84" s="226"/>
      <c r="G84" s="226"/>
      <c r="H84" s="226"/>
      <c r="I84" s="227"/>
      <c r="J84" s="226"/>
      <c r="K84" s="226"/>
      <c r="L84" s="226"/>
      <c r="M84" s="226"/>
      <c r="N84" s="226"/>
      <c r="O84" s="226"/>
      <c r="P84" s="226"/>
      <c r="Q84" s="226"/>
      <c r="R84" s="226"/>
      <c r="S84" s="226"/>
      <c r="T84" s="226"/>
      <c r="U84" s="226"/>
      <c r="V84" s="226"/>
      <c r="W84" s="226"/>
      <c r="X84" s="226"/>
      <c r="Y84" s="226"/>
      <c r="Z84" s="226"/>
      <c r="AA84" s="226"/>
      <c r="AB84" s="226"/>
      <c r="AC84" s="226"/>
    </row>
    <row r="85" spans="2:29" ht="15" customHeight="1" x14ac:dyDescent="0.3">
      <c r="B85" s="190" t="str">
        <f>$B$15</f>
        <v>Best Case</v>
      </c>
      <c r="F85" s="228">
        <v>0.04</v>
      </c>
      <c r="G85" s="229">
        <v>0.04</v>
      </c>
      <c r="H85" s="229">
        <v>0.04</v>
      </c>
      <c r="I85" s="229">
        <v>0.04</v>
      </c>
      <c r="J85" s="229">
        <v>0.04</v>
      </c>
      <c r="K85" s="229">
        <v>0.04</v>
      </c>
      <c r="L85" s="229">
        <v>0.04</v>
      </c>
      <c r="M85" s="229">
        <v>0.04</v>
      </c>
      <c r="N85" s="229">
        <v>0.04</v>
      </c>
      <c r="O85" s="229">
        <v>0.04</v>
      </c>
      <c r="P85" s="229">
        <v>0.04</v>
      </c>
      <c r="Q85" s="229">
        <v>0.04</v>
      </c>
      <c r="R85" s="229">
        <v>0.04</v>
      </c>
      <c r="S85" s="229">
        <v>0.04</v>
      </c>
      <c r="T85" s="229">
        <v>0.04</v>
      </c>
      <c r="U85" s="229">
        <v>0.04</v>
      </c>
      <c r="V85" s="229">
        <v>0.04</v>
      </c>
      <c r="W85" s="229">
        <v>0.04</v>
      </c>
      <c r="X85" s="229">
        <v>0.04</v>
      </c>
      <c r="Y85" s="229">
        <v>0.04</v>
      </c>
      <c r="Z85" s="229">
        <v>0.04</v>
      </c>
      <c r="AA85" s="229">
        <v>0.04</v>
      </c>
      <c r="AB85" s="229">
        <v>0.04</v>
      </c>
      <c r="AC85" s="230">
        <v>0.04</v>
      </c>
    </row>
    <row r="86" spans="2:29" ht="15" customHeight="1" x14ac:dyDescent="0.3">
      <c r="B86" s="191" t="str">
        <f>$B$16</f>
        <v>Base Case</v>
      </c>
      <c r="F86" s="231">
        <v>0.05</v>
      </c>
      <c r="G86" s="232">
        <v>0.05</v>
      </c>
      <c r="H86" s="232">
        <v>0.05</v>
      </c>
      <c r="I86" s="232">
        <v>0.05</v>
      </c>
      <c r="J86" s="232">
        <v>0.05</v>
      </c>
      <c r="K86" s="232">
        <v>0.05</v>
      </c>
      <c r="L86" s="232">
        <v>0.05</v>
      </c>
      <c r="M86" s="232">
        <v>0.05</v>
      </c>
      <c r="N86" s="232">
        <v>0.05</v>
      </c>
      <c r="O86" s="232">
        <v>0.05</v>
      </c>
      <c r="P86" s="232">
        <v>0.05</v>
      </c>
      <c r="Q86" s="232">
        <v>0.05</v>
      </c>
      <c r="R86" s="232">
        <v>0.05</v>
      </c>
      <c r="S86" s="232">
        <v>0.05</v>
      </c>
      <c r="T86" s="232">
        <v>0.05</v>
      </c>
      <c r="U86" s="232">
        <v>0.05</v>
      </c>
      <c r="V86" s="232">
        <v>0.05</v>
      </c>
      <c r="W86" s="232">
        <v>0.05</v>
      </c>
      <c r="X86" s="232">
        <v>0.05</v>
      </c>
      <c r="Y86" s="232">
        <v>0.05</v>
      </c>
      <c r="Z86" s="232">
        <v>0.05</v>
      </c>
      <c r="AA86" s="232">
        <v>0.05</v>
      </c>
      <c r="AB86" s="232">
        <v>0.05</v>
      </c>
      <c r="AC86" s="233">
        <v>0.05</v>
      </c>
    </row>
    <row r="87" spans="2:29" ht="15" customHeight="1" x14ac:dyDescent="0.3">
      <c r="B87" s="191" t="str">
        <f>$B$17</f>
        <v>Worst Case</v>
      </c>
      <c r="F87" s="234">
        <v>7.0000000000000007E-2</v>
      </c>
      <c r="G87" s="235">
        <v>7.0000000000000007E-2</v>
      </c>
      <c r="H87" s="235">
        <v>7.0000000000000007E-2</v>
      </c>
      <c r="I87" s="235">
        <v>7.0000000000000007E-2</v>
      </c>
      <c r="J87" s="235">
        <v>7.0000000000000007E-2</v>
      </c>
      <c r="K87" s="235">
        <v>7.0000000000000007E-2</v>
      </c>
      <c r="L87" s="235">
        <v>7.0000000000000007E-2</v>
      </c>
      <c r="M87" s="235">
        <v>7.0000000000000007E-2</v>
      </c>
      <c r="N87" s="235">
        <v>7.0000000000000007E-2</v>
      </c>
      <c r="O87" s="235">
        <v>7.0000000000000007E-2</v>
      </c>
      <c r="P87" s="235">
        <v>7.0000000000000007E-2</v>
      </c>
      <c r="Q87" s="235">
        <v>7.0000000000000007E-2</v>
      </c>
      <c r="R87" s="235">
        <v>7.0000000000000007E-2</v>
      </c>
      <c r="S87" s="235">
        <v>7.0000000000000007E-2</v>
      </c>
      <c r="T87" s="235">
        <v>7.0000000000000007E-2</v>
      </c>
      <c r="U87" s="235">
        <v>7.0000000000000007E-2</v>
      </c>
      <c r="V87" s="235">
        <v>7.0000000000000007E-2</v>
      </c>
      <c r="W87" s="235">
        <v>7.0000000000000007E-2</v>
      </c>
      <c r="X87" s="235">
        <v>7.0000000000000007E-2</v>
      </c>
      <c r="Y87" s="235">
        <v>7.0000000000000007E-2</v>
      </c>
      <c r="Z87" s="235">
        <v>7.0000000000000007E-2</v>
      </c>
      <c r="AA87" s="235">
        <v>7.0000000000000007E-2</v>
      </c>
      <c r="AB87" s="235">
        <v>7.0000000000000007E-2</v>
      </c>
      <c r="AC87" s="236">
        <v>7.0000000000000007E-2</v>
      </c>
    </row>
    <row r="88" spans="2:29" ht="15" customHeight="1" x14ac:dyDescent="0.3">
      <c r="B88" s="165"/>
    </row>
    <row r="89" spans="2:29" ht="15" customHeight="1" x14ac:dyDescent="0.3">
      <c r="B89" s="222" t="s">
        <v>121</v>
      </c>
      <c r="C89" s="237"/>
      <c r="D89" s="237"/>
      <c r="E89" s="237"/>
    </row>
    <row r="90" spans="2:29" ht="15" customHeight="1" x14ac:dyDescent="0.3">
      <c r="B90" s="173"/>
      <c r="F90" s="196"/>
      <c r="G90" s="196"/>
      <c r="H90" s="196"/>
      <c r="I90" s="196"/>
      <c r="J90" s="196"/>
      <c r="K90" s="196"/>
      <c r="L90" s="196"/>
      <c r="M90" s="196"/>
      <c r="N90" s="196"/>
      <c r="O90" s="196"/>
      <c r="P90" s="196"/>
      <c r="Q90" s="196"/>
      <c r="R90" s="196"/>
      <c r="S90" s="196"/>
      <c r="T90" s="196"/>
      <c r="U90" s="196"/>
      <c r="V90" s="196"/>
      <c r="W90" s="196"/>
      <c r="X90" s="196"/>
      <c r="Y90" s="196"/>
      <c r="Z90" s="196"/>
      <c r="AA90" s="196"/>
      <c r="AB90" s="196"/>
      <c r="AC90" s="196"/>
    </row>
    <row r="91" spans="2:29" ht="15" customHeight="1" x14ac:dyDescent="0.3">
      <c r="B91" s="174" t="s">
        <v>42</v>
      </c>
      <c r="F91" s="223" cm="1">
        <f t="array" ref="F91">INDEX(F93:F95,$D$8)+'Operational Model'!$Q$551</f>
        <v>0.14000000000000001</v>
      </c>
      <c r="G91" s="224" cm="1">
        <f t="array" ref="G91">INDEX(G93:G95,$D$8)+'Operational Model'!$Q$551</f>
        <v>0.14000000000000001</v>
      </c>
      <c r="H91" s="224" cm="1">
        <f t="array" ref="H91">INDEX(H93:H95,$D$8)+'Operational Model'!$Q$551</f>
        <v>0.14000000000000001</v>
      </c>
      <c r="I91" s="224" cm="1">
        <f t="array" ref="I91">INDEX(I93:I95,$D$8)+'Operational Model'!$Q$551</f>
        <v>0.14000000000000001</v>
      </c>
      <c r="J91" s="224" cm="1">
        <f t="array" ref="J91">INDEX(J93:J95,$D$8)+'Operational Model'!$Q$551</f>
        <v>0.14000000000000001</v>
      </c>
      <c r="K91" s="224" cm="1">
        <f t="array" ref="K91">INDEX(K93:K95,$D$8)+'Operational Model'!$Q$551</f>
        <v>0.14000000000000001</v>
      </c>
      <c r="L91" s="224" cm="1">
        <f t="array" ref="L91">INDEX(L93:L95,$D$8)+'Operational Model'!$Q$551</f>
        <v>0.14000000000000001</v>
      </c>
      <c r="M91" s="224" cm="1">
        <f t="array" ref="M91">INDEX(M93:M95,$D$8)+'Operational Model'!$Q$551</f>
        <v>0.14000000000000001</v>
      </c>
      <c r="N91" s="224" cm="1">
        <f t="array" ref="N91">INDEX(N93:N95,$D$8)+'Operational Model'!$Q$551</f>
        <v>0.14000000000000001</v>
      </c>
      <c r="O91" s="224" cm="1">
        <f t="array" ref="O91">INDEX(O93:O95,$D$8)+'Operational Model'!$Q$551</f>
        <v>0.14000000000000001</v>
      </c>
      <c r="P91" s="224" cm="1">
        <f t="array" ref="P91">INDEX(P93:P95,$D$8)+'Operational Model'!$Q$551</f>
        <v>0.14000000000000001</v>
      </c>
      <c r="Q91" s="224" cm="1">
        <f t="array" ref="Q91">INDEX(Q93:Q95,$D$8)+'Operational Model'!$Q$551</f>
        <v>0.14000000000000001</v>
      </c>
      <c r="R91" s="224" cm="1">
        <f t="array" ref="R91">INDEX(R93:R95,$D$8)+'Operational Model'!$Q$551</f>
        <v>0.13900000000000001</v>
      </c>
      <c r="S91" s="224" cm="1">
        <f t="array" ref="S91">INDEX(S93:S95,$D$8)+'Operational Model'!$Q$551</f>
        <v>0.13800000000000001</v>
      </c>
      <c r="T91" s="224" cm="1">
        <f t="array" ref="T91">INDEX(T93:T95,$D$8)+'Operational Model'!$Q$551</f>
        <v>0.13700000000000001</v>
      </c>
      <c r="U91" s="224" cm="1">
        <f t="array" ref="U91">INDEX(U93:U95,$D$8)+'Operational Model'!$Q$551</f>
        <v>0.13600000000000001</v>
      </c>
      <c r="V91" s="224" cm="1">
        <f t="array" ref="V91">INDEX(V93:V95,$D$8)+'Operational Model'!$Q$551</f>
        <v>0.13500000000000001</v>
      </c>
      <c r="W91" s="224" cm="1">
        <f t="array" ref="W91">INDEX(W93:W95,$D$8)+'Operational Model'!$Q$551</f>
        <v>0.13400000000000001</v>
      </c>
      <c r="X91" s="224" cm="1">
        <f t="array" ref="X91">INDEX(X93:X95,$D$8)+'Operational Model'!$Q$551</f>
        <v>0.13300000000000001</v>
      </c>
      <c r="Y91" s="224" cm="1">
        <f t="array" ref="Y91">INDEX(Y93:Y95,$D$8)+'Operational Model'!$Q$551</f>
        <v>0.13200000000000001</v>
      </c>
      <c r="Z91" s="224" cm="1">
        <f t="array" ref="Z91">INDEX(Z93:Z95,$D$8)+'Operational Model'!$Q$551</f>
        <v>0.13100000000000001</v>
      </c>
      <c r="AA91" s="224" cm="1">
        <f t="array" ref="AA91">INDEX(AA93:AA95,$D$8)+'Operational Model'!$Q$551</f>
        <v>0.13</v>
      </c>
      <c r="AB91" s="224" cm="1">
        <f t="array" ref="AB91">INDEX(AB93:AB95,$D$8)+'Operational Model'!$Q$551</f>
        <v>0.13</v>
      </c>
      <c r="AC91" s="225" cm="1">
        <f t="array" ref="AC91">INDEX(AC93:AC95,$D$8)+'Operational Model'!$Q$551</f>
        <v>0.13</v>
      </c>
    </row>
    <row r="92" spans="2:29" ht="15" customHeight="1" x14ac:dyDescent="0.3">
      <c r="B92" s="174"/>
      <c r="F92" s="226"/>
      <c r="G92" s="226"/>
      <c r="H92" s="226"/>
      <c r="I92" s="227"/>
      <c r="J92" s="226"/>
      <c r="K92" s="226"/>
      <c r="L92" s="226"/>
      <c r="M92" s="226"/>
      <c r="N92" s="226"/>
      <c r="O92" s="226"/>
      <c r="P92" s="226"/>
      <c r="Q92" s="226"/>
      <c r="R92" s="226"/>
      <c r="S92" s="226"/>
      <c r="T92" s="226"/>
      <c r="U92" s="226"/>
      <c r="V92" s="226"/>
      <c r="W92" s="226"/>
      <c r="X92" s="226"/>
      <c r="Y92" s="226"/>
      <c r="Z92" s="226"/>
      <c r="AA92" s="226"/>
      <c r="AB92" s="226"/>
      <c r="AC92" s="226"/>
    </row>
    <row r="93" spans="2:29" ht="15" customHeight="1" x14ac:dyDescent="0.3">
      <c r="B93" s="190" t="str">
        <f>$B$15</f>
        <v>Best Case</v>
      </c>
      <c r="F93" s="228">
        <v>0.12</v>
      </c>
      <c r="G93" s="229">
        <v>0.12</v>
      </c>
      <c r="H93" s="229">
        <v>0.12</v>
      </c>
      <c r="I93" s="229">
        <v>0.12</v>
      </c>
      <c r="J93" s="229">
        <v>0.12</v>
      </c>
      <c r="K93" s="229">
        <v>0.12</v>
      </c>
      <c r="L93" s="229">
        <v>0.12</v>
      </c>
      <c r="M93" s="229">
        <v>0.12</v>
      </c>
      <c r="N93" s="229">
        <v>0.12</v>
      </c>
      <c r="O93" s="229">
        <v>0.12</v>
      </c>
      <c r="P93" s="229">
        <v>0.12</v>
      </c>
      <c r="Q93" s="229">
        <v>0.12</v>
      </c>
      <c r="R93" s="229">
        <v>0.11899999999999999</v>
      </c>
      <c r="S93" s="229">
        <v>0.11799999999999999</v>
      </c>
      <c r="T93" s="229">
        <v>0.11700000000000001</v>
      </c>
      <c r="U93" s="229">
        <v>0.11600000000000001</v>
      </c>
      <c r="V93" s="229">
        <v>0.115</v>
      </c>
      <c r="W93" s="229">
        <v>0.114</v>
      </c>
      <c r="X93" s="229">
        <v>0.113</v>
      </c>
      <c r="Y93" s="229">
        <v>0.112</v>
      </c>
      <c r="Z93" s="229">
        <v>0.111</v>
      </c>
      <c r="AA93" s="229">
        <v>0.11</v>
      </c>
      <c r="AB93" s="229">
        <v>0.11</v>
      </c>
      <c r="AC93" s="230">
        <v>0.11</v>
      </c>
    </row>
    <row r="94" spans="2:29" ht="15" customHeight="1" x14ac:dyDescent="0.3">
      <c r="B94" s="191" t="str">
        <f>$B$16</f>
        <v>Base Case</v>
      </c>
      <c r="F94" s="231">
        <v>0.14000000000000001</v>
      </c>
      <c r="G94" s="232">
        <v>0.14000000000000001</v>
      </c>
      <c r="H94" s="232">
        <v>0.14000000000000001</v>
      </c>
      <c r="I94" s="232">
        <v>0.14000000000000001</v>
      </c>
      <c r="J94" s="232">
        <v>0.14000000000000001</v>
      </c>
      <c r="K94" s="232">
        <v>0.14000000000000001</v>
      </c>
      <c r="L94" s="232">
        <v>0.14000000000000001</v>
      </c>
      <c r="M94" s="232">
        <v>0.14000000000000001</v>
      </c>
      <c r="N94" s="232">
        <v>0.14000000000000001</v>
      </c>
      <c r="O94" s="232">
        <v>0.14000000000000001</v>
      </c>
      <c r="P94" s="232">
        <v>0.14000000000000001</v>
      </c>
      <c r="Q94" s="232">
        <v>0.14000000000000001</v>
      </c>
      <c r="R94" s="232">
        <v>0.13900000000000001</v>
      </c>
      <c r="S94" s="232">
        <v>0.13800000000000001</v>
      </c>
      <c r="T94" s="232">
        <v>0.13700000000000001</v>
      </c>
      <c r="U94" s="232">
        <v>0.13600000000000001</v>
      </c>
      <c r="V94" s="232">
        <v>0.13500000000000001</v>
      </c>
      <c r="W94" s="232">
        <v>0.13400000000000001</v>
      </c>
      <c r="X94" s="232">
        <v>0.13300000000000001</v>
      </c>
      <c r="Y94" s="232">
        <v>0.13200000000000001</v>
      </c>
      <c r="Z94" s="232">
        <v>0.13100000000000001</v>
      </c>
      <c r="AA94" s="232">
        <v>0.13</v>
      </c>
      <c r="AB94" s="232">
        <v>0.13</v>
      </c>
      <c r="AC94" s="233">
        <v>0.13</v>
      </c>
    </row>
    <row r="95" spans="2:29" ht="15" customHeight="1" x14ac:dyDescent="0.3">
      <c r="B95" s="191" t="str">
        <f>$B$17</f>
        <v>Worst Case</v>
      </c>
      <c r="F95" s="234">
        <v>0.16</v>
      </c>
      <c r="G95" s="235">
        <v>0.16</v>
      </c>
      <c r="H95" s="235">
        <v>0.16</v>
      </c>
      <c r="I95" s="235">
        <v>0.16</v>
      </c>
      <c r="J95" s="235">
        <v>0.16</v>
      </c>
      <c r="K95" s="235">
        <v>0.16</v>
      </c>
      <c r="L95" s="235">
        <v>0.16</v>
      </c>
      <c r="M95" s="235">
        <v>0.16</v>
      </c>
      <c r="N95" s="235">
        <v>0.16</v>
      </c>
      <c r="O95" s="235">
        <v>0.16</v>
      </c>
      <c r="P95" s="235">
        <v>0.16</v>
      </c>
      <c r="Q95" s="235">
        <v>0.16</v>
      </c>
      <c r="R95" s="235">
        <v>0.159</v>
      </c>
      <c r="S95" s="235">
        <v>0.158</v>
      </c>
      <c r="T95" s="235">
        <v>0.157</v>
      </c>
      <c r="U95" s="235">
        <v>0.156</v>
      </c>
      <c r="V95" s="235">
        <v>0.155</v>
      </c>
      <c r="W95" s="235">
        <v>0.154</v>
      </c>
      <c r="X95" s="235">
        <v>0.153</v>
      </c>
      <c r="Y95" s="235">
        <v>0.152</v>
      </c>
      <c r="Z95" s="235">
        <v>0.151</v>
      </c>
      <c r="AA95" s="235">
        <v>0.15</v>
      </c>
      <c r="AB95" s="235">
        <v>0.15</v>
      </c>
      <c r="AC95" s="236">
        <v>0.15</v>
      </c>
    </row>
    <row r="96" spans="2:29" ht="15" customHeight="1" x14ac:dyDescent="0.3">
      <c r="B96" s="174"/>
      <c r="F96" s="226"/>
      <c r="G96" s="226"/>
      <c r="H96" s="226"/>
      <c r="I96" s="226"/>
      <c r="J96" s="226"/>
      <c r="K96" s="226"/>
      <c r="L96" s="226"/>
      <c r="M96" s="226"/>
      <c r="N96" s="226"/>
      <c r="P96" s="226"/>
      <c r="Q96" s="226"/>
      <c r="R96" s="226"/>
      <c r="S96" s="226"/>
      <c r="T96" s="226"/>
      <c r="U96" s="226"/>
      <c r="V96" s="226"/>
      <c r="W96" s="226"/>
      <c r="X96" s="226"/>
      <c r="Y96" s="226"/>
      <c r="Z96" s="226"/>
      <c r="AA96" s="226"/>
      <c r="AB96" s="226"/>
      <c r="AC96" s="226"/>
    </row>
    <row r="97" spans="2:29" ht="15" customHeight="1" x14ac:dyDescent="0.3">
      <c r="B97" s="174" t="s">
        <v>331</v>
      </c>
      <c r="F97" s="223" cm="1">
        <f t="array" ref="F97">INDEX(F99:F101,$D$8)</f>
        <v>0.1</v>
      </c>
      <c r="G97" s="224" cm="1">
        <f t="array" ref="G97">INDEX(G99:G101,$D$8)</f>
        <v>0.1</v>
      </c>
      <c r="H97" s="224" cm="1">
        <f t="array" ref="H97">INDEX(H99:H101,$D$8)</f>
        <v>0.1</v>
      </c>
      <c r="I97" s="224" cm="1">
        <f t="array" ref="I97">INDEX(I99:I101,$D$8)</f>
        <v>0.1</v>
      </c>
      <c r="J97" s="224" cm="1">
        <f t="array" ref="J97">INDEX(J99:J101,$D$8)</f>
        <v>0.1</v>
      </c>
      <c r="K97" s="224" cm="1">
        <f t="array" ref="K97">INDEX(K99:K101,$D$8)</f>
        <v>0.1</v>
      </c>
      <c r="L97" s="224" cm="1">
        <f t="array" ref="L97">INDEX(L99:L101,$D$8)</f>
        <v>0.1</v>
      </c>
      <c r="M97" s="224" cm="1">
        <f t="array" ref="M97">INDEX(M99:M101,$D$8)</f>
        <v>0.1</v>
      </c>
      <c r="N97" s="224" cm="1">
        <f t="array" ref="N97">INDEX(N99:N101,$D$8)</f>
        <v>0.1</v>
      </c>
      <c r="O97" s="224" cm="1">
        <f t="array" ref="O97">INDEX(O99:O101,$D$8)</f>
        <v>0.1</v>
      </c>
      <c r="P97" s="224" cm="1">
        <f t="array" ref="P97">INDEX(P99:P101,$D$8)</f>
        <v>0.1</v>
      </c>
      <c r="Q97" s="224" cm="1">
        <f t="array" ref="Q97">INDEX(Q99:Q101,$D$8)</f>
        <v>0.1</v>
      </c>
      <c r="R97" s="224" cm="1">
        <f t="array" ref="R97">INDEX(R99:R101,$D$8)</f>
        <v>9.9000000000000005E-2</v>
      </c>
      <c r="S97" s="224" cm="1">
        <f t="array" ref="S97">INDEX(S99:S101,$D$8)</f>
        <v>9.8000000000000004E-2</v>
      </c>
      <c r="T97" s="224" cm="1">
        <f t="array" ref="T97">INDEX(T99:T101,$D$8)</f>
        <v>9.7000000000000003E-2</v>
      </c>
      <c r="U97" s="224" cm="1">
        <f t="array" ref="U97">INDEX(U99:U101,$D$8)</f>
        <v>9.6000000000000002E-2</v>
      </c>
      <c r="V97" s="224" cm="1">
        <f t="array" ref="V97">INDEX(V99:V101,$D$8)</f>
        <v>9.5000000000000001E-2</v>
      </c>
      <c r="W97" s="224" cm="1">
        <f t="array" ref="W97">INDEX(W99:W101,$D$8)</f>
        <v>9.4E-2</v>
      </c>
      <c r="X97" s="224" cm="1">
        <f t="array" ref="X97">INDEX(X99:X101,$D$8)</f>
        <v>9.2999999999999999E-2</v>
      </c>
      <c r="Y97" s="224" cm="1">
        <f t="array" ref="Y97">INDEX(Y99:Y101,$D$8)</f>
        <v>9.1999999999999998E-2</v>
      </c>
      <c r="Z97" s="224" cm="1">
        <f t="array" ref="Z97">INDEX(Z99:Z101,$D$8)</f>
        <v>9.0999999999999998E-2</v>
      </c>
      <c r="AA97" s="224" cm="1">
        <f t="array" ref="AA97">INDEX(AA99:AA101,$D$8)</f>
        <v>0.09</v>
      </c>
      <c r="AB97" s="224" cm="1">
        <f t="array" ref="AB97">INDEX(AB99:AB101,$D$8)</f>
        <v>0.09</v>
      </c>
      <c r="AC97" s="225" cm="1">
        <f t="array" ref="AC97">INDEX(AC99:AC101,$D$8)</f>
        <v>0.09</v>
      </c>
    </row>
    <row r="98" spans="2:29" ht="15" customHeight="1" x14ac:dyDescent="0.3">
      <c r="B98" s="174"/>
      <c r="F98" s="226"/>
      <c r="G98" s="226"/>
      <c r="H98" s="226"/>
      <c r="I98" s="227"/>
      <c r="J98" s="226"/>
      <c r="K98" s="226"/>
      <c r="L98" s="226"/>
      <c r="M98" s="226"/>
      <c r="N98" s="226"/>
      <c r="O98" s="226"/>
      <c r="P98" s="226"/>
      <c r="Q98" s="226"/>
      <c r="R98" s="226"/>
      <c r="S98" s="226"/>
      <c r="T98" s="226"/>
      <c r="U98" s="226"/>
      <c r="V98" s="226"/>
      <c r="W98" s="226"/>
      <c r="X98" s="226"/>
      <c r="Y98" s="226"/>
      <c r="Z98" s="226"/>
      <c r="AA98" s="226"/>
      <c r="AB98" s="226"/>
      <c r="AC98" s="226"/>
    </row>
    <row r="99" spans="2:29" ht="15" customHeight="1" x14ac:dyDescent="0.3">
      <c r="B99" s="190" t="str">
        <f>$B$15</f>
        <v>Best Case</v>
      </c>
      <c r="F99" s="228">
        <v>0.08</v>
      </c>
      <c r="G99" s="229">
        <v>0.08</v>
      </c>
      <c r="H99" s="229">
        <v>0.08</v>
      </c>
      <c r="I99" s="229">
        <v>0.08</v>
      </c>
      <c r="J99" s="229">
        <v>0.08</v>
      </c>
      <c r="K99" s="229">
        <v>0.08</v>
      </c>
      <c r="L99" s="229">
        <v>0.08</v>
      </c>
      <c r="M99" s="229">
        <v>0.08</v>
      </c>
      <c r="N99" s="229">
        <v>0.08</v>
      </c>
      <c r="O99" s="229">
        <v>0.08</v>
      </c>
      <c r="P99" s="229">
        <v>0.08</v>
      </c>
      <c r="Q99" s="229">
        <v>0.08</v>
      </c>
      <c r="R99" s="229">
        <v>7.9000000000000001E-2</v>
      </c>
      <c r="S99" s="229">
        <v>7.8E-2</v>
      </c>
      <c r="T99" s="229">
        <v>7.6999999999999999E-2</v>
      </c>
      <c r="U99" s="229">
        <v>7.5999999999999998E-2</v>
      </c>
      <c r="V99" s="229">
        <v>7.4999999999999997E-2</v>
      </c>
      <c r="W99" s="229">
        <v>7.3999999999999996E-2</v>
      </c>
      <c r="X99" s="229">
        <v>7.2999999999999995E-2</v>
      </c>
      <c r="Y99" s="229">
        <v>7.1999999999999995E-2</v>
      </c>
      <c r="Z99" s="229">
        <v>7.0999999999999994E-2</v>
      </c>
      <c r="AA99" s="229">
        <v>7.0000000000000007E-2</v>
      </c>
      <c r="AB99" s="229">
        <v>7.0000000000000007E-2</v>
      </c>
      <c r="AC99" s="230">
        <v>7.0000000000000007E-2</v>
      </c>
    </row>
    <row r="100" spans="2:29" ht="15" customHeight="1" x14ac:dyDescent="0.3">
      <c r="B100" s="191" t="str">
        <f>$B$16</f>
        <v>Base Case</v>
      </c>
      <c r="F100" s="231">
        <v>0.1</v>
      </c>
      <c r="G100" s="232">
        <v>0.1</v>
      </c>
      <c r="H100" s="232">
        <v>0.1</v>
      </c>
      <c r="I100" s="232">
        <v>0.1</v>
      </c>
      <c r="J100" s="232">
        <v>0.1</v>
      </c>
      <c r="K100" s="232">
        <v>0.1</v>
      </c>
      <c r="L100" s="232">
        <v>0.1</v>
      </c>
      <c r="M100" s="232">
        <v>0.1</v>
      </c>
      <c r="N100" s="232">
        <v>0.1</v>
      </c>
      <c r="O100" s="232">
        <v>0.1</v>
      </c>
      <c r="P100" s="232">
        <v>0.1</v>
      </c>
      <c r="Q100" s="232">
        <v>0.1</v>
      </c>
      <c r="R100" s="232">
        <v>9.9000000000000005E-2</v>
      </c>
      <c r="S100" s="232">
        <v>9.8000000000000004E-2</v>
      </c>
      <c r="T100" s="232">
        <v>9.7000000000000003E-2</v>
      </c>
      <c r="U100" s="232">
        <v>9.6000000000000002E-2</v>
      </c>
      <c r="V100" s="232">
        <v>9.5000000000000001E-2</v>
      </c>
      <c r="W100" s="232">
        <v>9.4E-2</v>
      </c>
      <c r="X100" s="232">
        <v>9.2999999999999999E-2</v>
      </c>
      <c r="Y100" s="232">
        <v>9.1999999999999998E-2</v>
      </c>
      <c r="Z100" s="232">
        <v>9.0999999999999998E-2</v>
      </c>
      <c r="AA100" s="232">
        <v>0.09</v>
      </c>
      <c r="AB100" s="232">
        <v>0.09</v>
      </c>
      <c r="AC100" s="233">
        <v>0.09</v>
      </c>
    </row>
    <row r="101" spans="2:29" ht="15" customHeight="1" x14ac:dyDescent="0.3">
      <c r="B101" s="191" t="str">
        <f>$B$17</f>
        <v>Worst Case</v>
      </c>
      <c r="F101" s="234">
        <v>0.13</v>
      </c>
      <c r="G101" s="235">
        <v>0.13</v>
      </c>
      <c r="H101" s="235">
        <v>0.13</v>
      </c>
      <c r="I101" s="235">
        <v>0.13</v>
      </c>
      <c r="J101" s="235">
        <v>0.13</v>
      </c>
      <c r="K101" s="235">
        <v>0.13</v>
      </c>
      <c r="L101" s="235">
        <v>0.13</v>
      </c>
      <c r="M101" s="235">
        <v>0.13</v>
      </c>
      <c r="N101" s="235">
        <v>0.13</v>
      </c>
      <c r="O101" s="235">
        <v>0.13</v>
      </c>
      <c r="P101" s="235">
        <v>0.13</v>
      </c>
      <c r="Q101" s="235">
        <v>0.13</v>
      </c>
      <c r="R101" s="235">
        <v>0.128</v>
      </c>
      <c r="S101" s="235">
        <v>0.126</v>
      </c>
      <c r="T101" s="235">
        <v>0.124</v>
      </c>
      <c r="U101" s="235">
        <v>0.122</v>
      </c>
      <c r="V101" s="235">
        <v>0.12</v>
      </c>
      <c r="W101" s="235">
        <v>0.11799999999999999</v>
      </c>
      <c r="X101" s="235">
        <v>0.11600000000000001</v>
      </c>
      <c r="Y101" s="235">
        <v>0.114</v>
      </c>
      <c r="Z101" s="235">
        <v>0.112</v>
      </c>
      <c r="AA101" s="235">
        <v>0.11</v>
      </c>
      <c r="AB101" s="235">
        <v>0.11</v>
      </c>
      <c r="AC101" s="236">
        <v>0.11</v>
      </c>
    </row>
    <row r="102" spans="2:29" ht="15" customHeight="1" x14ac:dyDescent="0.3">
      <c r="B102" s="238"/>
    </row>
    <row r="103" spans="2:29" ht="15" customHeight="1" x14ac:dyDescent="0.3">
      <c r="B103" s="222" t="s">
        <v>122</v>
      </c>
    </row>
    <row r="104" spans="2:29" ht="15" customHeight="1" x14ac:dyDescent="0.3">
      <c r="B104" s="222"/>
    </row>
    <row r="105" spans="2:29" ht="15" customHeight="1" x14ac:dyDescent="0.3">
      <c r="B105" s="213" t="s">
        <v>123</v>
      </c>
      <c r="F105" s="239">
        <v>0.02</v>
      </c>
      <c r="G105" s="240">
        <v>0.02</v>
      </c>
      <c r="H105" s="240">
        <v>0.02</v>
      </c>
      <c r="I105" s="240">
        <v>0.02</v>
      </c>
      <c r="J105" s="240">
        <v>0.02</v>
      </c>
      <c r="K105" s="240">
        <v>0.02</v>
      </c>
      <c r="L105" s="240">
        <v>0.02</v>
      </c>
      <c r="M105" s="240">
        <v>0.02</v>
      </c>
      <c r="N105" s="240">
        <v>0.02</v>
      </c>
      <c r="O105" s="240">
        <v>0.02</v>
      </c>
      <c r="P105" s="240">
        <v>0.02</v>
      </c>
      <c r="Q105" s="240">
        <v>0.02</v>
      </c>
      <c r="R105" s="240">
        <v>1.7999999999999999E-2</v>
      </c>
      <c r="S105" s="240">
        <v>1.7999999999999999E-2</v>
      </c>
      <c r="T105" s="240">
        <v>1.7999999999999999E-2</v>
      </c>
      <c r="U105" s="240">
        <v>1.7999999999999999E-2</v>
      </c>
      <c r="V105" s="240">
        <v>1.7999999999999999E-2</v>
      </c>
      <c r="W105" s="240">
        <v>1.7999999999999999E-2</v>
      </c>
      <c r="X105" s="240">
        <v>1.7999999999999999E-2</v>
      </c>
      <c r="Y105" s="240">
        <v>1.7999999999999999E-2</v>
      </c>
      <c r="Z105" s="240">
        <v>1.7999999999999999E-2</v>
      </c>
      <c r="AA105" s="240">
        <v>1.7999999999999999E-2</v>
      </c>
      <c r="AB105" s="240">
        <v>1.7999999999999999E-2</v>
      </c>
      <c r="AC105" s="241">
        <v>1.7999999999999999E-2</v>
      </c>
    </row>
    <row r="106" spans="2:29" ht="15" customHeight="1" x14ac:dyDescent="0.3">
      <c r="B106" s="213"/>
      <c r="F106" s="185"/>
      <c r="G106" s="185"/>
      <c r="H106" s="185"/>
      <c r="I106" s="185"/>
      <c r="J106" s="185"/>
      <c r="K106" s="185"/>
      <c r="L106" s="185"/>
      <c r="M106" s="185"/>
      <c r="N106" s="185"/>
      <c r="O106" s="185"/>
      <c r="P106" s="185"/>
      <c r="Q106" s="185"/>
      <c r="R106" s="185"/>
      <c r="S106" s="185"/>
      <c r="T106" s="185"/>
      <c r="U106" s="185"/>
      <c r="V106" s="185"/>
      <c r="W106" s="185"/>
      <c r="X106" s="185"/>
      <c r="Y106" s="185"/>
      <c r="Z106" s="185"/>
      <c r="AA106" s="185"/>
      <c r="AB106" s="185"/>
      <c r="AC106" s="185"/>
    </row>
    <row r="108" spans="2:29" ht="15" customHeight="1" x14ac:dyDescent="0.3">
      <c r="B108" s="243"/>
      <c r="C108" s="244"/>
      <c r="D108" s="244"/>
      <c r="E108" s="244"/>
      <c r="F108" s="185"/>
      <c r="G108" s="185"/>
      <c r="H108" s="185"/>
      <c r="I108" s="185"/>
      <c r="J108" s="185"/>
      <c r="K108" s="185"/>
      <c r="L108" s="185"/>
      <c r="M108" s="185"/>
      <c r="N108" s="185"/>
      <c r="O108" s="185"/>
      <c r="P108" s="185"/>
      <c r="Q108" s="185"/>
      <c r="R108" s="185"/>
      <c r="S108" s="185"/>
      <c r="T108" s="185"/>
      <c r="U108" s="185"/>
      <c r="V108" s="185"/>
      <c r="W108" s="185"/>
      <c r="X108" s="185"/>
      <c r="Y108" s="185"/>
      <c r="Z108" s="185"/>
      <c r="AA108" s="185"/>
      <c r="AB108" s="185"/>
      <c r="AC108" s="185"/>
    </row>
    <row r="109" spans="2:29" ht="15" customHeight="1" x14ac:dyDescent="0.3">
      <c r="B109" s="24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5"/>
      <c r="X109" s="185"/>
      <c r="Y109" s="185"/>
      <c r="Z109" s="185"/>
      <c r="AA109" s="185"/>
      <c r="AB109" s="185"/>
      <c r="AC109" s="185"/>
    </row>
    <row r="110" spans="2:29" ht="15" customHeight="1" x14ac:dyDescent="0.3">
      <c r="B110" s="245" t="s">
        <v>125</v>
      </c>
      <c r="F110" s="185"/>
      <c r="G110" s="185"/>
      <c r="H110" s="185"/>
      <c r="I110" s="185"/>
      <c r="J110" s="245" t="s">
        <v>257</v>
      </c>
      <c r="K110" s="185"/>
      <c r="L110" s="185"/>
      <c r="M110" s="185"/>
      <c r="N110" s="185"/>
      <c r="O110" s="185"/>
      <c r="P110" s="185"/>
      <c r="Q110" s="185"/>
      <c r="R110" s="185"/>
      <c r="S110" s="245" t="s">
        <v>341</v>
      </c>
      <c r="T110" s="185"/>
      <c r="U110" s="185"/>
      <c r="V110" s="185"/>
      <c r="W110" s="185"/>
      <c r="X110" s="185"/>
      <c r="Y110" s="185"/>
      <c r="Z110" s="185"/>
      <c r="AA110" s="185"/>
      <c r="AB110" s="185"/>
      <c r="AC110" s="185"/>
    </row>
    <row r="111" spans="2:29" ht="15" customHeight="1" x14ac:dyDescent="0.3">
      <c r="B111" s="245"/>
      <c r="F111" s="185"/>
      <c r="G111" s="185"/>
      <c r="H111" s="185"/>
      <c r="I111" s="185"/>
      <c r="J111" s="185"/>
      <c r="K111" s="185"/>
      <c r="L111" s="185"/>
      <c r="M111" s="185"/>
      <c r="N111" s="185"/>
      <c r="O111" s="185"/>
      <c r="P111" s="185"/>
      <c r="Q111" s="185"/>
      <c r="R111" s="185"/>
      <c r="S111" s="185"/>
      <c r="T111" s="185"/>
      <c r="U111" s="185"/>
      <c r="V111" s="185"/>
      <c r="W111" s="185"/>
      <c r="X111" s="185"/>
      <c r="Y111" s="185"/>
      <c r="Z111" s="185"/>
      <c r="AA111" s="185"/>
      <c r="AB111" s="185"/>
      <c r="AC111" s="185"/>
    </row>
    <row r="112" spans="2:29" ht="15" customHeight="1" x14ac:dyDescent="0.3">
      <c r="B112" s="213" t="s">
        <v>127</v>
      </c>
      <c r="F112" s="212">
        <v>18</v>
      </c>
      <c r="G112" s="212"/>
      <c r="H112" s="212"/>
      <c r="I112" s="212"/>
      <c r="J112" s="165" t="s">
        <v>248</v>
      </c>
      <c r="K112" s="212"/>
      <c r="L112" s="212"/>
      <c r="M112" s="212"/>
      <c r="N112" s="212"/>
      <c r="O112" s="246">
        <v>0.6</v>
      </c>
      <c r="P112" s="212"/>
      <c r="Q112" s="212"/>
      <c r="R112" s="212"/>
      <c r="S112" s="165" t="s">
        <v>340</v>
      </c>
      <c r="T112" s="212"/>
      <c r="U112" s="212"/>
      <c r="V112" s="212"/>
      <c r="W112" s="212"/>
      <c r="X112" s="246">
        <v>0.8</v>
      </c>
      <c r="Y112" s="212"/>
      <c r="Z112" s="212"/>
      <c r="AA112" s="212"/>
      <c r="AB112" s="212"/>
      <c r="AC112" s="212"/>
    </row>
    <row r="113" spans="1:29" ht="15" customHeight="1" x14ac:dyDescent="0.3">
      <c r="B113" s="213" t="s">
        <v>126</v>
      </c>
      <c r="F113" s="212">
        <v>12000</v>
      </c>
      <c r="G113" s="212"/>
      <c r="H113" s="212"/>
      <c r="I113" s="212"/>
      <c r="J113" s="165" t="s">
        <v>258</v>
      </c>
      <c r="K113" s="212"/>
      <c r="L113" s="212"/>
      <c r="M113" s="212"/>
      <c r="N113" s="212"/>
      <c r="O113" s="212">
        <v>12</v>
      </c>
      <c r="P113" s="212"/>
      <c r="Q113" s="212"/>
      <c r="R113" s="212"/>
      <c r="S113" s="275"/>
      <c r="T113" s="275"/>
      <c r="U113" s="212"/>
      <c r="V113" s="212"/>
      <c r="W113" s="212"/>
      <c r="X113" s="276"/>
      <c r="Y113" s="212"/>
      <c r="Z113" s="212"/>
      <c r="AA113" s="212"/>
      <c r="AB113" s="212"/>
      <c r="AC113" s="212"/>
    </row>
    <row r="114" spans="1:29" ht="15" customHeight="1" x14ac:dyDescent="0.3">
      <c r="B114" s="213" t="s">
        <v>131</v>
      </c>
      <c r="F114" s="247" t="s">
        <v>132</v>
      </c>
      <c r="G114" s="212"/>
      <c r="H114" s="212"/>
      <c r="I114" s="212"/>
      <c r="J114" s="165" t="s">
        <v>259</v>
      </c>
      <c r="K114" s="212"/>
      <c r="L114" s="212"/>
      <c r="M114" s="212"/>
      <c r="N114" s="212"/>
      <c r="O114" s="202">
        <v>5.5</v>
      </c>
      <c r="P114" s="212"/>
      <c r="Q114" s="212"/>
      <c r="R114" s="212"/>
      <c r="S114" s="275"/>
      <c r="T114" s="275"/>
      <c r="U114" s="212"/>
      <c r="V114" s="212"/>
      <c r="W114" s="212"/>
      <c r="X114" s="276"/>
      <c r="Y114" s="212"/>
      <c r="Z114" s="212"/>
      <c r="AA114" s="212"/>
      <c r="AB114" s="212"/>
      <c r="AC114" s="212"/>
    </row>
    <row r="115" spans="1:29" ht="15" customHeight="1" x14ac:dyDescent="0.3">
      <c r="B115" s="213"/>
      <c r="S115" s="275"/>
      <c r="T115" s="275"/>
      <c r="U115" s="212"/>
      <c r="V115" s="212"/>
      <c r="W115" s="212"/>
      <c r="X115" s="276"/>
    </row>
    <row r="116" spans="1:29" ht="15" customHeight="1" x14ac:dyDescent="0.3">
      <c r="B116" s="245" t="s">
        <v>236</v>
      </c>
      <c r="G116" s="212"/>
      <c r="H116" s="212"/>
      <c r="I116" s="212"/>
      <c r="J116" s="245" t="s">
        <v>261</v>
      </c>
      <c r="K116" s="185"/>
      <c r="L116" s="185"/>
      <c r="M116" s="185"/>
      <c r="N116" s="185"/>
      <c r="O116" s="185"/>
      <c r="P116" s="212"/>
      <c r="Q116" s="212"/>
      <c r="R116" s="212"/>
      <c r="S116" s="275"/>
      <c r="T116" s="275"/>
      <c r="U116" s="212"/>
      <c r="V116" s="212"/>
      <c r="W116" s="212"/>
      <c r="X116" s="276"/>
      <c r="Y116" s="212"/>
      <c r="Z116" s="212"/>
      <c r="AA116" s="212"/>
      <c r="AB116" s="212"/>
      <c r="AC116" s="212"/>
    </row>
    <row r="117" spans="1:29" ht="15" customHeight="1" x14ac:dyDescent="0.3">
      <c r="B117" s="248"/>
      <c r="F117" s="202"/>
      <c r="G117" s="212"/>
      <c r="H117" s="212"/>
      <c r="I117" s="212"/>
      <c r="J117" s="185"/>
      <c r="K117" s="185"/>
      <c r="L117" s="185"/>
      <c r="M117" s="185"/>
      <c r="N117" s="185"/>
      <c r="O117" s="185"/>
      <c r="P117" s="212"/>
      <c r="Q117" s="212"/>
      <c r="R117" s="212"/>
      <c r="Y117" s="212"/>
      <c r="Z117" s="212"/>
      <c r="AA117" s="212"/>
      <c r="AB117" s="212"/>
      <c r="AC117" s="212"/>
    </row>
    <row r="118" spans="1:29" ht="15" customHeight="1" x14ac:dyDescent="0.3">
      <c r="B118" s="213" t="s">
        <v>246</v>
      </c>
      <c r="F118" s="212">
        <v>31</v>
      </c>
      <c r="G118" s="212"/>
      <c r="H118" s="212"/>
      <c r="I118" s="212"/>
      <c r="J118" s="165" t="s">
        <v>262</v>
      </c>
      <c r="K118" s="212"/>
      <c r="L118" s="212"/>
      <c r="M118" s="212"/>
      <c r="N118" s="212"/>
      <c r="O118" s="212">
        <v>36</v>
      </c>
      <c r="P118" s="212"/>
      <c r="Q118" s="212"/>
      <c r="R118" s="212"/>
      <c r="Y118" s="212"/>
      <c r="Z118" s="212"/>
      <c r="AA118" s="212"/>
      <c r="AB118" s="212"/>
      <c r="AC118" s="212"/>
    </row>
    <row r="119" spans="1:29" ht="15" customHeight="1" x14ac:dyDescent="0.3">
      <c r="B119" s="213" t="s">
        <v>247</v>
      </c>
      <c r="F119" s="212">
        <v>45</v>
      </c>
      <c r="G119" s="212"/>
      <c r="H119" s="212"/>
      <c r="I119" s="212"/>
      <c r="J119" s="165" t="s">
        <v>272</v>
      </c>
      <c r="K119" s="212"/>
      <c r="L119" s="212"/>
      <c r="M119" s="212"/>
      <c r="N119" s="212"/>
      <c r="O119" s="212">
        <v>36</v>
      </c>
      <c r="P119" s="212"/>
      <c r="Q119" s="212"/>
      <c r="R119" s="212"/>
      <c r="Y119" s="212"/>
      <c r="Z119" s="212"/>
      <c r="AA119" s="212"/>
      <c r="AB119" s="212"/>
      <c r="AC119" s="212"/>
    </row>
    <row r="120" spans="1:29" ht="15" customHeight="1" x14ac:dyDescent="0.3">
      <c r="B120" s="213" t="s">
        <v>244</v>
      </c>
      <c r="F120" s="232">
        <v>0.05</v>
      </c>
      <c r="G120" s="212"/>
      <c r="H120" s="212"/>
      <c r="I120" s="212"/>
      <c r="J120" s="165"/>
      <c r="K120" s="212"/>
      <c r="L120" s="212"/>
      <c r="M120" s="212"/>
      <c r="N120" s="212"/>
      <c r="O120" s="202"/>
      <c r="P120" s="212"/>
      <c r="Q120" s="212"/>
      <c r="R120" s="212"/>
      <c r="Y120" s="212"/>
      <c r="Z120" s="212"/>
      <c r="AA120" s="212"/>
      <c r="AB120" s="212"/>
      <c r="AC120" s="212"/>
    </row>
    <row r="121" spans="1:29" ht="15" customHeight="1" x14ac:dyDescent="0.3">
      <c r="B121" s="213" t="s">
        <v>245</v>
      </c>
      <c r="F121" s="232">
        <v>0.05</v>
      </c>
      <c r="G121" s="212"/>
      <c r="H121" s="212"/>
      <c r="I121" s="212"/>
      <c r="P121" s="212"/>
      <c r="Q121" s="212"/>
      <c r="R121" s="212"/>
      <c r="Y121" s="212"/>
      <c r="Z121" s="212"/>
      <c r="AA121" s="212"/>
      <c r="AB121" s="212"/>
      <c r="AC121" s="212"/>
    </row>
    <row r="122" spans="1:29" ht="15" customHeight="1" x14ac:dyDescent="0.3">
      <c r="B122" s="213"/>
      <c r="G122" s="212"/>
      <c r="H122" s="212"/>
      <c r="I122" s="212"/>
      <c r="J122" s="165"/>
      <c r="K122" s="212"/>
      <c r="L122" s="212"/>
      <c r="M122" s="212"/>
      <c r="N122" s="212"/>
      <c r="O122" s="246"/>
      <c r="P122" s="212"/>
      <c r="Q122" s="212"/>
      <c r="R122" s="212"/>
      <c r="S122" s="275"/>
      <c r="T122" s="275"/>
      <c r="U122" s="212"/>
      <c r="V122" s="212"/>
      <c r="W122" s="212"/>
      <c r="X122" s="212"/>
      <c r="Y122" s="212"/>
      <c r="Z122" s="212"/>
      <c r="AA122" s="212"/>
      <c r="AB122" s="212"/>
      <c r="AC122" s="212"/>
    </row>
    <row r="123" spans="1:29" ht="15" customHeight="1" x14ac:dyDescent="0.3">
      <c r="B123" s="248"/>
      <c r="G123" s="212"/>
      <c r="H123" s="212"/>
      <c r="I123" s="212"/>
      <c r="J123" s="212"/>
      <c r="K123" s="212"/>
      <c r="L123" s="212"/>
      <c r="M123" s="212"/>
      <c r="N123" s="212"/>
      <c r="O123" s="212"/>
      <c r="P123" s="212"/>
      <c r="Q123" s="212"/>
      <c r="R123" s="212"/>
      <c r="S123" s="212"/>
      <c r="T123" s="212"/>
      <c r="U123" s="212"/>
      <c r="V123" s="212"/>
      <c r="W123" s="212"/>
      <c r="X123" s="212"/>
      <c r="Y123" s="212"/>
      <c r="Z123" s="212"/>
      <c r="AA123" s="212"/>
      <c r="AB123" s="212"/>
      <c r="AC123" s="212"/>
    </row>
    <row r="124" spans="1:29" ht="15" customHeight="1" x14ac:dyDescent="0.3">
      <c r="B124" s="238"/>
    </row>
    <row r="125" spans="1:29" ht="15" customHeight="1" x14ac:dyDescent="0.3">
      <c r="A125" s="149" t="s">
        <v>33</v>
      </c>
      <c r="B125" s="152" t="s">
        <v>371</v>
      </c>
      <c r="C125" s="153"/>
      <c r="D125" s="153"/>
      <c r="E125" s="153"/>
      <c r="F125" s="153"/>
      <c r="G125" s="153"/>
      <c r="H125" s="153"/>
      <c r="I125" s="153"/>
      <c r="J125" s="153"/>
      <c r="K125" s="153"/>
      <c r="L125" s="153"/>
      <c r="M125" s="153"/>
      <c r="N125" s="153"/>
      <c r="O125" s="153"/>
      <c r="P125" s="153"/>
      <c r="Q125" s="153"/>
      <c r="R125" s="153"/>
      <c r="S125" s="153"/>
      <c r="T125" s="153"/>
      <c r="U125" s="153"/>
      <c r="V125" s="153"/>
      <c r="W125" s="153"/>
      <c r="X125" s="153"/>
      <c r="Y125" s="153"/>
      <c r="Z125" s="153"/>
      <c r="AA125" s="153"/>
      <c r="AB125" s="153"/>
      <c r="AC125" s="153"/>
    </row>
    <row r="126" spans="1:29" ht="15" customHeight="1" x14ac:dyDescent="0.3">
      <c r="B126" s="238"/>
    </row>
    <row r="127" spans="1:29" ht="15" customHeight="1" x14ac:dyDescent="0.3">
      <c r="B127" s="155" t="s">
        <v>24</v>
      </c>
    </row>
    <row r="128" spans="1:29" ht="15" customHeight="1" thickBot="1" x14ac:dyDescent="0.35"/>
    <row r="129" spans="2:30" ht="15" customHeight="1" x14ac:dyDescent="0.3">
      <c r="B129" s="238"/>
      <c r="F129" s="409">
        <v>2028</v>
      </c>
      <c r="G129" s="409">
        <f>F129+1</f>
        <v>2029</v>
      </c>
      <c r="H129" s="409">
        <f t="shared" ref="H129:M129" si="3">G129+1</f>
        <v>2030</v>
      </c>
      <c r="I129" s="409">
        <f t="shared" si="3"/>
        <v>2031</v>
      </c>
      <c r="J129" s="409">
        <f t="shared" si="3"/>
        <v>2032</v>
      </c>
      <c r="K129" s="409">
        <f t="shared" si="3"/>
        <v>2033</v>
      </c>
      <c r="L129" s="409">
        <f t="shared" si="3"/>
        <v>2034</v>
      </c>
      <c r="M129" s="409">
        <f t="shared" si="3"/>
        <v>2035</v>
      </c>
      <c r="N129" s="412" t="s">
        <v>377</v>
      </c>
      <c r="P129" s="172"/>
      <c r="Q129" s="448" t="s">
        <v>379</v>
      </c>
      <c r="R129" s="449"/>
      <c r="S129" s="449"/>
      <c r="T129" s="449"/>
      <c r="U129" s="450"/>
      <c r="V129" s="450"/>
      <c r="W129" s="450"/>
      <c r="X129" s="450"/>
      <c r="Y129" s="450"/>
      <c r="Z129" s="450"/>
      <c r="AA129" s="450"/>
      <c r="AB129" s="450"/>
      <c r="AC129" s="450"/>
    </row>
    <row r="130" spans="2:30" ht="15" customHeight="1" x14ac:dyDescent="0.3">
      <c r="B130" s="238"/>
      <c r="F130" s="410"/>
      <c r="G130" s="410"/>
      <c r="H130" s="410"/>
      <c r="I130" s="410"/>
      <c r="J130" s="410"/>
      <c r="K130" s="410"/>
      <c r="L130" s="410"/>
      <c r="M130" s="410"/>
      <c r="N130" s="413"/>
      <c r="P130" s="172"/>
      <c r="Q130" s="447"/>
      <c r="R130" s="447"/>
      <c r="S130" s="447"/>
      <c r="T130" s="447"/>
      <c r="U130" s="447"/>
      <c r="V130" s="447"/>
      <c r="W130" s="447"/>
      <c r="X130" s="447"/>
      <c r="Y130" s="447"/>
      <c r="Z130" s="447"/>
      <c r="AA130" s="447"/>
      <c r="AB130" s="447"/>
      <c r="AC130" s="447"/>
    </row>
    <row r="131" spans="2:30" ht="15" customHeight="1" x14ac:dyDescent="0.3">
      <c r="B131" s="172" t="s">
        <v>378</v>
      </c>
      <c r="F131" s="410"/>
      <c r="G131" s="410"/>
      <c r="H131" s="410"/>
      <c r="I131" s="411"/>
      <c r="P131" s="238"/>
    </row>
    <row r="132" spans="2:30" ht="15" customHeight="1" x14ac:dyDescent="0.3">
      <c r="B132" s="238"/>
      <c r="D132" s="172"/>
      <c r="E132" s="172"/>
      <c r="F132" s="172"/>
      <c r="G132" s="172"/>
      <c r="Q132" s="172"/>
      <c r="R132" s="172"/>
      <c r="S132" s="172"/>
      <c r="T132" s="172"/>
      <c r="U132" s="192"/>
      <c r="V132" s="192"/>
      <c r="W132" s="192"/>
      <c r="X132" s="172"/>
      <c r="Y132" s="418"/>
      <c r="Z132" s="418" t="s">
        <v>385</v>
      </c>
      <c r="AA132" s="418" t="s">
        <v>385</v>
      </c>
      <c r="AB132" s="423" t="s">
        <v>387</v>
      </c>
      <c r="AC132" s="418" t="s">
        <v>394</v>
      </c>
    </row>
    <row r="133" spans="2:30" ht="15" customHeight="1" x14ac:dyDescent="0.3">
      <c r="B133" s="174" t="s">
        <v>372</v>
      </c>
      <c r="F133" s="175" cm="1">
        <f t="array" ref="F133">INDEX(F135:F137,$D$8)</f>
        <v>0.23</v>
      </c>
      <c r="G133" s="176" cm="1">
        <f t="array" ref="G133">INDEX(G135:G137,$D$8)</f>
        <v>0.19</v>
      </c>
      <c r="H133" s="176" cm="1">
        <f t="array" ref="H133">INDEX(H135:H137,$D$8)</f>
        <v>0.16</v>
      </c>
      <c r="I133" s="176" cm="1">
        <f t="array" ref="I133">INDEX(I135:I137,$D$8)</f>
        <v>0.13</v>
      </c>
      <c r="J133" s="176" cm="1">
        <f t="array" ref="J133">INDEX(J135:J137,$D$8)</f>
        <v>0.1</v>
      </c>
      <c r="K133" s="176" cm="1">
        <f t="array" ref="K133">INDEX(K135:K137,$D$8)</f>
        <v>0.08</v>
      </c>
      <c r="L133" s="176" cm="1">
        <f t="array" ref="L133">INDEX(L135:L137,$D$8)</f>
        <v>0.06</v>
      </c>
      <c r="M133" s="176" cm="1">
        <f t="array" ref="M133">INDEX(M135:M137,$D$8)</f>
        <v>0.04</v>
      </c>
      <c r="N133" s="177" cm="1">
        <f t="array" ref="N133">INDEX(N135:N137,$D$8)</f>
        <v>2.5000000000000001E-2</v>
      </c>
      <c r="O133" s="414"/>
      <c r="Q133" s="419" t="s">
        <v>380</v>
      </c>
      <c r="R133" s="419"/>
      <c r="S133" s="425" t="s">
        <v>413</v>
      </c>
      <c r="T133" s="252"/>
      <c r="U133" s="426" t="s">
        <v>381</v>
      </c>
      <c r="V133" s="427"/>
      <c r="W133" s="420" t="s">
        <v>382</v>
      </c>
      <c r="X133" s="420"/>
      <c r="Y133" s="420" t="s">
        <v>384</v>
      </c>
      <c r="Z133" s="420" t="s">
        <v>382</v>
      </c>
      <c r="AA133" s="420" t="s">
        <v>386</v>
      </c>
      <c r="AB133" s="420" t="s">
        <v>388</v>
      </c>
      <c r="AC133" s="420" t="s">
        <v>388</v>
      </c>
    </row>
    <row r="134" spans="2:30" ht="15" customHeight="1" x14ac:dyDescent="0.3">
      <c r="B134" s="238"/>
      <c r="O134" s="414"/>
      <c r="Q134" s="172"/>
      <c r="S134" s="417"/>
      <c r="T134" s="417"/>
      <c r="U134" s="416"/>
      <c r="V134" s="416"/>
    </row>
    <row r="135" spans="2:30" ht="15" customHeight="1" x14ac:dyDescent="0.3">
      <c r="B135" s="190" t="str">
        <f>$B$15</f>
        <v>Best Case</v>
      </c>
      <c r="F135" s="181">
        <v>0.38</v>
      </c>
      <c r="G135" s="182">
        <v>0.31</v>
      </c>
      <c r="H135" s="182">
        <v>0.25</v>
      </c>
      <c r="I135" s="182">
        <v>0.2</v>
      </c>
      <c r="J135" s="182">
        <v>0.16</v>
      </c>
      <c r="K135" s="182">
        <v>0.12</v>
      </c>
      <c r="L135" s="182">
        <v>0.09</v>
      </c>
      <c r="M135" s="182">
        <v>0.06</v>
      </c>
      <c r="N135" s="183">
        <v>2.5000000000000001E-2</v>
      </c>
      <c r="O135" s="414"/>
      <c r="Q135" s="575" t="s">
        <v>416</v>
      </c>
      <c r="R135" s="575"/>
      <c r="S135" s="576" t="s">
        <v>417</v>
      </c>
      <c r="T135" s="429"/>
      <c r="U135" s="428">
        <v>20000</v>
      </c>
      <c r="V135" s="607">
        <v>600000</v>
      </c>
      <c r="W135" s="607"/>
      <c r="Y135" s="185">
        <v>0.2</v>
      </c>
      <c r="Z135" s="178">
        <f>U135/V135</f>
        <v>3.3333333333333333E-2</v>
      </c>
      <c r="AA135" s="178">
        <f>U135/(U135+V135)</f>
        <v>3.2258064516129031E-2</v>
      </c>
      <c r="AB135" s="431">
        <v>1.48</v>
      </c>
      <c r="AC135" s="430">
        <f>AB135/(1+(1-Y135)*Z135)</f>
        <v>1.4415584415584417</v>
      </c>
    </row>
    <row r="136" spans="2:30" ht="15" customHeight="1" x14ac:dyDescent="0.3">
      <c r="B136" s="191" t="str">
        <f>$B$16</f>
        <v>Base Case</v>
      </c>
      <c r="F136" s="184">
        <v>0.23</v>
      </c>
      <c r="G136" s="185">
        <v>0.19</v>
      </c>
      <c r="H136" s="185">
        <v>0.16</v>
      </c>
      <c r="I136" s="185">
        <v>0.13</v>
      </c>
      <c r="J136" s="185">
        <v>0.1</v>
      </c>
      <c r="K136" s="185">
        <v>0.08</v>
      </c>
      <c r="L136" s="185">
        <v>0.06</v>
      </c>
      <c r="M136" s="185">
        <v>0.04</v>
      </c>
      <c r="N136" s="186">
        <v>2.5000000000000001E-2</v>
      </c>
      <c r="O136" s="414"/>
      <c r="Q136" s="575" t="s">
        <v>418</v>
      </c>
      <c r="R136" s="575"/>
      <c r="S136" s="576" t="s">
        <v>414</v>
      </c>
      <c r="T136" s="429"/>
      <c r="U136" s="437">
        <v>0</v>
      </c>
      <c r="V136" s="608">
        <v>370000</v>
      </c>
      <c r="W136" s="608"/>
      <c r="Y136" s="260">
        <v>0.20599999999999999</v>
      </c>
      <c r="Z136" s="271">
        <f>U136/V136</f>
        <v>0</v>
      </c>
      <c r="AA136" s="271">
        <f t="shared" ref="AA136:AA140" si="4">U136/(U136+V136)</f>
        <v>0</v>
      </c>
      <c r="AB136" s="431">
        <v>1.18</v>
      </c>
      <c r="AC136" s="430">
        <f t="shared" ref="AC136:AC140" si="5">AB136/(1+(1-Y136)*Z136)</f>
        <v>1.18</v>
      </c>
    </row>
    <row r="137" spans="2:30" ht="15" customHeight="1" x14ac:dyDescent="0.3">
      <c r="B137" s="191" t="str">
        <f>$B$17</f>
        <v>Worst Case</v>
      </c>
      <c r="F137" s="187">
        <v>0.02</v>
      </c>
      <c r="G137" s="188">
        <v>0.04</v>
      </c>
      <c r="H137" s="188">
        <v>0.06</v>
      </c>
      <c r="I137" s="188">
        <v>7.0000000000000007E-2</v>
      </c>
      <c r="J137" s="188">
        <v>7.0000000000000007E-2</v>
      </c>
      <c r="K137" s="188">
        <v>0.06</v>
      </c>
      <c r="L137" s="188">
        <v>0.05</v>
      </c>
      <c r="M137" s="188">
        <v>0.04</v>
      </c>
      <c r="N137" s="189">
        <v>0.02</v>
      </c>
      <c r="O137" s="414"/>
      <c r="Q137" s="575" t="s">
        <v>412</v>
      </c>
      <c r="R137" s="575"/>
      <c r="S137" s="576" t="s">
        <v>414</v>
      </c>
      <c r="T137" s="429"/>
      <c r="U137" s="428">
        <v>277000</v>
      </c>
      <c r="V137" s="608">
        <v>970000</v>
      </c>
      <c r="W137" s="608"/>
      <c r="Y137" s="260">
        <v>0.20599999999999999</v>
      </c>
      <c r="Z137" s="178">
        <f t="shared" ref="Z137:Z140" si="6">U137/V137</f>
        <v>0.28556701030927834</v>
      </c>
      <c r="AA137" s="178">
        <f t="shared" si="4"/>
        <v>0.22213311948676825</v>
      </c>
      <c r="AB137" s="431">
        <v>0.85</v>
      </c>
      <c r="AC137" s="430">
        <f t="shared" si="5"/>
        <v>0.69289324317737566</v>
      </c>
    </row>
    <row r="138" spans="2:30" ht="15" customHeight="1" x14ac:dyDescent="0.3">
      <c r="B138" s="191"/>
      <c r="F138" s="232"/>
      <c r="G138" s="232"/>
      <c r="H138" s="232"/>
      <c r="I138" s="232"/>
      <c r="O138" s="414"/>
      <c r="Q138" s="575" t="s">
        <v>410</v>
      </c>
      <c r="R138" s="575"/>
      <c r="S138" s="576" t="s">
        <v>415</v>
      </c>
      <c r="T138" s="429"/>
      <c r="U138" s="428">
        <v>942966</v>
      </c>
      <c r="V138" s="608">
        <v>920000</v>
      </c>
      <c r="W138" s="608"/>
      <c r="Y138" s="260">
        <v>0.3</v>
      </c>
      <c r="Z138" s="178">
        <f t="shared" si="6"/>
        <v>1.0249630434782608</v>
      </c>
      <c r="AA138" s="178">
        <f t="shared" si="4"/>
        <v>0.50616382692974538</v>
      </c>
      <c r="AB138" s="431">
        <v>1.01</v>
      </c>
      <c r="AC138" s="430">
        <f t="shared" si="5"/>
        <v>0.58807290433208215</v>
      </c>
    </row>
    <row r="139" spans="2:30" ht="15" customHeight="1" x14ac:dyDescent="0.3">
      <c r="B139" s="174" t="s">
        <v>188</v>
      </c>
      <c r="F139" s="175" cm="1">
        <f t="array" ref="F139">INDEX(F141:F143,$D$8)</f>
        <v>0.85499999999999998</v>
      </c>
      <c r="G139" s="176" cm="1">
        <f t="array" ref="G139">INDEX(G141:G143,$D$8)</f>
        <v>0.86</v>
      </c>
      <c r="H139" s="176" cm="1">
        <f t="array" ref="H139">INDEX(H141:H143,$D$8)</f>
        <v>0.86499999999999999</v>
      </c>
      <c r="I139" s="176" cm="1">
        <f t="array" ref="I139">INDEX(I141:I143,$D$8)</f>
        <v>0.87</v>
      </c>
      <c r="J139" s="176" cm="1">
        <f t="array" ref="J139">INDEX(J141:J143,$D$8)</f>
        <v>0.87</v>
      </c>
      <c r="K139" s="176" cm="1">
        <f t="array" ref="K139">INDEX(K141:K143,$D$8)</f>
        <v>0.87</v>
      </c>
      <c r="L139" s="176" cm="1">
        <f t="array" ref="L139">INDEX(L141:L143,$D$8)</f>
        <v>0.87</v>
      </c>
      <c r="M139" s="176" cm="1">
        <f t="array" ref="M139">INDEX(M141:M143,$D$8)</f>
        <v>0.87</v>
      </c>
      <c r="N139" s="177" cm="1">
        <f t="array" ref="N139">INDEX(N141:N143,$D$8)</f>
        <v>0.87</v>
      </c>
      <c r="O139" s="414"/>
      <c r="Q139" s="575" t="s">
        <v>411</v>
      </c>
      <c r="R139" s="575"/>
      <c r="S139" s="576" t="s">
        <v>415</v>
      </c>
      <c r="T139" s="429"/>
      <c r="U139" s="428">
        <v>400000</v>
      </c>
      <c r="V139" s="608">
        <v>10717000</v>
      </c>
      <c r="W139" s="608"/>
      <c r="Y139" s="260">
        <v>0.3</v>
      </c>
      <c r="Z139" s="178">
        <f t="shared" si="6"/>
        <v>3.7323877950919099E-2</v>
      </c>
      <c r="AA139" s="178">
        <f t="shared" si="4"/>
        <v>3.5980930107043264E-2</v>
      </c>
      <c r="AB139" s="431">
        <v>0.54</v>
      </c>
      <c r="AC139" s="430">
        <f t="shared" si="5"/>
        <v>0.52625079567154676</v>
      </c>
    </row>
    <row r="140" spans="2:30" ht="15" customHeight="1" x14ac:dyDescent="0.3">
      <c r="O140" s="414"/>
      <c r="Q140" s="575" t="s">
        <v>419</v>
      </c>
      <c r="R140" s="575"/>
      <c r="S140" s="576" t="s">
        <v>414</v>
      </c>
      <c r="T140" s="429"/>
      <c r="U140" s="428">
        <v>638300</v>
      </c>
      <c r="V140" s="608">
        <v>2033000</v>
      </c>
      <c r="W140" s="608"/>
      <c r="Y140" s="260">
        <v>0.20599999999999999</v>
      </c>
      <c r="Z140" s="178">
        <f t="shared" si="6"/>
        <v>0.31396950319724543</v>
      </c>
      <c r="AA140" s="178">
        <f t="shared" si="4"/>
        <v>0.23894732901583499</v>
      </c>
      <c r="AB140" s="431">
        <v>2.48</v>
      </c>
      <c r="AC140" s="430">
        <f t="shared" si="5"/>
        <v>1.9851247152247833</v>
      </c>
      <c r="AD140" s="436"/>
    </row>
    <row r="141" spans="2:30" ht="15" customHeight="1" x14ac:dyDescent="0.3">
      <c r="B141" s="190" t="str">
        <f>$B$15</f>
        <v>Best Case</v>
      </c>
      <c r="F141" s="181">
        <v>0.86</v>
      </c>
      <c r="G141" s="182">
        <v>0.86799999999999999</v>
      </c>
      <c r="H141" s="182">
        <v>0.875</v>
      </c>
      <c r="I141" s="182">
        <v>0.88</v>
      </c>
      <c r="J141" s="182">
        <v>0.88500000000000001</v>
      </c>
      <c r="K141" s="182">
        <v>0.89</v>
      </c>
      <c r="L141" s="182">
        <v>0.89</v>
      </c>
      <c r="M141" s="182">
        <v>0.89</v>
      </c>
      <c r="N141" s="183">
        <v>0.89</v>
      </c>
      <c r="O141" s="414"/>
      <c r="W141" s="422"/>
    </row>
    <row r="142" spans="2:30" ht="15" customHeight="1" x14ac:dyDescent="0.3">
      <c r="B142" s="191" t="str">
        <f>$B$16</f>
        <v>Base Case</v>
      </c>
      <c r="F142" s="184">
        <v>0.85499999999999998</v>
      </c>
      <c r="G142" s="185">
        <v>0.86</v>
      </c>
      <c r="H142" s="185">
        <v>0.86499999999999999</v>
      </c>
      <c r="I142" s="185">
        <v>0.87</v>
      </c>
      <c r="J142" s="185">
        <v>0.87</v>
      </c>
      <c r="K142" s="185">
        <v>0.87</v>
      </c>
      <c r="L142" s="185">
        <v>0.87</v>
      </c>
      <c r="M142" s="185">
        <v>0.87</v>
      </c>
      <c r="N142" s="186">
        <v>0.87</v>
      </c>
      <c r="O142" s="414"/>
      <c r="W142" s="422"/>
      <c r="X142" s="421" t="s">
        <v>383</v>
      </c>
      <c r="Y142" s="432">
        <f>AVERAGE(Y135:Y140)</f>
        <v>0.23633333333333331</v>
      </c>
      <c r="Z142" s="432">
        <f t="shared" ref="Z142:AC142" si="7">AVERAGE(Z135:Z140)</f>
        <v>0.28252612804483951</v>
      </c>
      <c r="AA142" s="432">
        <f t="shared" si="7"/>
        <v>0.17258054500925349</v>
      </c>
      <c r="AB142" s="433">
        <f t="shared" si="7"/>
        <v>1.2566666666666668</v>
      </c>
      <c r="AC142" s="433">
        <f t="shared" si="7"/>
        <v>1.0689833499940382</v>
      </c>
    </row>
    <row r="143" spans="2:30" ht="15" customHeight="1" x14ac:dyDescent="0.3">
      <c r="B143" s="191" t="str">
        <f>$B$17</f>
        <v>Worst Case</v>
      </c>
      <c r="F143" s="187">
        <v>0.83</v>
      </c>
      <c r="G143" s="188">
        <v>0.83499999999999996</v>
      </c>
      <c r="H143" s="188">
        <v>0.84</v>
      </c>
      <c r="I143" s="188">
        <v>0.84499999999999997</v>
      </c>
      <c r="J143" s="188">
        <v>0.85</v>
      </c>
      <c r="K143" s="188">
        <v>0.85</v>
      </c>
      <c r="L143" s="188">
        <v>0.85</v>
      </c>
      <c r="M143" s="188">
        <v>0.85</v>
      </c>
      <c r="N143" s="189">
        <v>0.85</v>
      </c>
      <c r="O143" s="414"/>
      <c r="X143" s="419" t="s">
        <v>389</v>
      </c>
      <c r="Y143" s="434">
        <f>MEDIAN(Y135:Y140)</f>
        <v>0.20599999999999999</v>
      </c>
      <c r="Z143" s="434">
        <f t="shared" ref="Z143:AB143" si="8">MEDIAN(Z135:Z140)</f>
        <v>0.1614454441300987</v>
      </c>
      <c r="AA143" s="434">
        <f t="shared" si="8"/>
        <v>0.12905702479690576</v>
      </c>
      <c r="AB143" s="435">
        <f t="shared" si="8"/>
        <v>1.095</v>
      </c>
      <c r="AC143" s="435">
        <f>MEDIAN(AC135:AC140)</f>
        <v>0.93644662158868774</v>
      </c>
    </row>
    <row r="144" spans="2:30" ht="15" customHeight="1" x14ac:dyDescent="0.3">
      <c r="O144" s="414"/>
    </row>
    <row r="145" spans="2:29" ht="15" customHeight="1" x14ac:dyDescent="0.3">
      <c r="B145" s="174" t="s">
        <v>189</v>
      </c>
      <c r="F145" s="175" cm="1">
        <f t="array" ref="F145">INDEX(F147:F149,$D$8)</f>
        <v>0.05</v>
      </c>
      <c r="G145" s="176" cm="1">
        <f t="array" ref="G145">INDEX(G147:G149,$D$8)</f>
        <v>0.08</v>
      </c>
      <c r="H145" s="176" cm="1">
        <f t="array" ref="H145">INDEX(H147:H149,$D$8)</f>
        <v>0.11</v>
      </c>
      <c r="I145" s="176" cm="1">
        <f t="array" ref="I145">INDEX(I147:I149,$D$8)</f>
        <v>0.14000000000000001</v>
      </c>
      <c r="J145" s="176" cm="1">
        <f t="array" ref="J145">INDEX(J147:J149,$D$8)</f>
        <v>0.16500000000000001</v>
      </c>
      <c r="K145" s="176" cm="1">
        <f t="array" ref="K145">INDEX(K147:K149,$D$8)</f>
        <v>0.185</v>
      </c>
      <c r="L145" s="176" cm="1">
        <f t="array" ref="L145">INDEX(L147:L149,$D$8)</f>
        <v>0.2</v>
      </c>
      <c r="M145" s="176" cm="1">
        <f t="array" ref="M145">INDEX(M147:M149,$D$8)</f>
        <v>0.21</v>
      </c>
      <c r="N145" s="177" cm="1">
        <f t="array" ref="N145">INDEX(N147:N149,$D$8)</f>
        <v>0.22</v>
      </c>
      <c r="O145" s="414"/>
    </row>
    <row r="146" spans="2:29" ht="15" customHeight="1" x14ac:dyDescent="0.3">
      <c r="B146" s="238"/>
      <c r="O146" s="414"/>
      <c r="Q146" s="419" t="s">
        <v>390</v>
      </c>
      <c r="R146" s="253"/>
      <c r="S146" s="253"/>
      <c r="T146" s="253"/>
      <c r="U146" s="253"/>
      <c r="V146" s="253"/>
      <c r="X146" s="419" t="s">
        <v>393</v>
      </c>
      <c r="Y146" s="253"/>
      <c r="Z146" s="253"/>
      <c r="AA146" s="253"/>
      <c r="AB146" s="253"/>
      <c r="AC146" s="253"/>
    </row>
    <row r="147" spans="2:29" ht="15" customHeight="1" x14ac:dyDescent="0.3">
      <c r="B147" s="190" t="str">
        <f>$B$15</f>
        <v>Best Case</v>
      </c>
      <c r="F147" s="181">
        <v>7.0000000000000007E-2</v>
      </c>
      <c r="G147" s="182">
        <v>0.11</v>
      </c>
      <c r="H147" s="182">
        <v>0.15</v>
      </c>
      <c r="I147" s="182">
        <v>0.18</v>
      </c>
      <c r="J147" s="182">
        <v>0.21</v>
      </c>
      <c r="K147" s="182">
        <v>0.23</v>
      </c>
      <c r="L147" s="182">
        <v>0.24</v>
      </c>
      <c r="M147" s="182">
        <v>0.25</v>
      </c>
      <c r="N147" s="183">
        <v>0.25</v>
      </c>
      <c r="O147" s="414"/>
    </row>
    <row r="148" spans="2:29" ht="15" customHeight="1" x14ac:dyDescent="0.3">
      <c r="B148" s="191" t="str">
        <f>$B$16</f>
        <v>Base Case</v>
      </c>
      <c r="F148" s="184">
        <v>0.05</v>
      </c>
      <c r="G148" s="185">
        <v>0.08</v>
      </c>
      <c r="H148" s="185">
        <v>0.11</v>
      </c>
      <c r="I148" s="185">
        <v>0.14000000000000001</v>
      </c>
      <c r="J148" s="185">
        <v>0.16500000000000001</v>
      </c>
      <c r="K148" s="185">
        <v>0.185</v>
      </c>
      <c r="L148" s="185">
        <v>0.2</v>
      </c>
      <c r="M148" s="185">
        <v>0.21</v>
      </c>
      <c r="N148" s="186">
        <v>0.22</v>
      </c>
      <c r="O148" s="414"/>
      <c r="Q148" s="165" t="s">
        <v>391</v>
      </c>
      <c r="V148" s="440">
        <v>4.2299999999999997E-2</v>
      </c>
      <c r="X148" s="165" t="s">
        <v>395</v>
      </c>
      <c r="AC148" s="440">
        <v>2.9700000000000001E-2</v>
      </c>
    </row>
    <row r="149" spans="2:29" ht="15" customHeight="1" x14ac:dyDescent="0.3">
      <c r="B149" s="191" t="str">
        <f>$B$17</f>
        <v>Worst Case</v>
      </c>
      <c r="F149" s="187">
        <v>-7.0000000000000007E-2</v>
      </c>
      <c r="G149" s="188">
        <v>-0.03</v>
      </c>
      <c r="H149" s="188">
        <v>0.01</v>
      </c>
      <c r="I149" s="188">
        <v>0.04</v>
      </c>
      <c r="J149" s="188">
        <v>7.0000000000000007E-2</v>
      </c>
      <c r="K149" s="188">
        <v>0.1</v>
      </c>
      <c r="L149" s="188">
        <v>0.12</v>
      </c>
      <c r="M149" s="188">
        <v>0.14000000000000001</v>
      </c>
      <c r="N149" s="189">
        <v>0.15</v>
      </c>
      <c r="O149" s="414"/>
      <c r="Q149" s="165" t="s">
        <v>421</v>
      </c>
      <c r="V149" s="430">
        <f>AC143</f>
        <v>0.93644662158868774</v>
      </c>
      <c r="X149" s="165" t="s">
        <v>392</v>
      </c>
      <c r="AC149" s="271">
        <f>V151</f>
        <v>4.3967003654932009E-2</v>
      </c>
    </row>
    <row r="150" spans="2:29" ht="15" customHeight="1" x14ac:dyDescent="0.3">
      <c r="B150" s="238"/>
      <c r="O150" s="414"/>
      <c r="Q150" s="165" t="s">
        <v>409</v>
      </c>
      <c r="V150" s="430">
        <f>V149*(1+(1-AC157)*V161)</f>
        <v>1.0394090698565488</v>
      </c>
      <c r="X150" s="165" t="s">
        <v>396</v>
      </c>
      <c r="AC150" s="272">
        <v>0</v>
      </c>
    </row>
    <row r="151" spans="2:29" ht="15" customHeight="1" x14ac:dyDescent="0.3">
      <c r="B151" s="174" t="s">
        <v>427</v>
      </c>
      <c r="F151" s="175" cm="1">
        <f t="array" ref="F151">INDEX(F153:F155,$D$8)</f>
        <v>0.02</v>
      </c>
      <c r="G151" s="176" cm="1">
        <f t="array" ref="G151">INDEX(G153:G155,$D$8)</f>
        <v>1.9E-2</v>
      </c>
      <c r="H151" s="176" cm="1">
        <f t="array" ref="H151">INDEX(H153:H155,$D$8)</f>
        <v>1.9E-2</v>
      </c>
      <c r="I151" s="176" cm="1">
        <f t="array" ref="I151">INDEX(I153:I155,$D$8)</f>
        <v>1.7999999999999999E-2</v>
      </c>
      <c r="J151" s="176" cm="1">
        <f t="array" ref="J151">INDEX(J153:J155,$D$8)</f>
        <v>1.7999999999999999E-2</v>
      </c>
      <c r="K151" s="176" cm="1">
        <f t="array" ref="K151">INDEX(K153:K155,$D$8)</f>
        <v>1.7999999999999999E-2</v>
      </c>
      <c r="L151" s="176" cm="1">
        <f t="array" ref="L151">INDEX(L153:L155,$D$8)</f>
        <v>1.7999999999999999E-2</v>
      </c>
      <c r="M151" s="176" cm="1">
        <f t="array" ref="M151">INDEX(M153:M155,$D$8)</f>
        <v>1.7999999999999999E-2</v>
      </c>
      <c r="N151" s="177" cm="1">
        <f t="array" ref="N151">INDEX(N153:N155,$D$8)</f>
        <v>1.7999999999999999E-2</v>
      </c>
      <c r="O151" s="414"/>
      <c r="Q151" s="165" t="s">
        <v>392</v>
      </c>
      <c r="V151" s="443">
        <f>V148*V150</f>
        <v>4.3967003654932009E-2</v>
      </c>
      <c r="X151" s="165" t="s">
        <v>485</v>
      </c>
      <c r="AC151" s="560">
        <v>4.4699999999999997E-2</v>
      </c>
    </row>
    <row r="152" spans="2:29" ht="15" customHeight="1" x14ac:dyDescent="0.3">
      <c r="B152" s="238"/>
      <c r="O152" s="414"/>
      <c r="Q152" s="165"/>
      <c r="X152" s="165" t="s">
        <v>393</v>
      </c>
      <c r="AC152" s="444">
        <f>SUM(AC148:AC151)</f>
        <v>0.118367003654932</v>
      </c>
    </row>
    <row r="153" spans="2:29" ht="15" customHeight="1" x14ac:dyDescent="0.3">
      <c r="B153" s="190" t="str">
        <f>$B$15</f>
        <v>Best Case</v>
      </c>
      <c r="F153" s="181">
        <v>1.6E-2</v>
      </c>
      <c r="G153" s="182">
        <v>1.6E-2</v>
      </c>
      <c r="H153" s="182">
        <v>1.6E-2</v>
      </c>
      <c r="I153" s="182">
        <v>1.6E-2</v>
      </c>
      <c r="J153" s="182">
        <v>1.6E-2</v>
      </c>
      <c r="K153" s="182">
        <v>1.6E-2</v>
      </c>
      <c r="L153" s="182">
        <v>1.6E-2</v>
      </c>
      <c r="M153" s="182">
        <v>1.6E-2</v>
      </c>
      <c r="N153" s="183">
        <v>1.6E-2</v>
      </c>
      <c r="O153" s="414"/>
    </row>
    <row r="154" spans="2:29" ht="15" customHeight="1" x14ac:dyDescent="0.3">
      <c r="B154" s="191" t="str">
        <f>$B$16</f>
        <v>Base Case</v>
      </c>
      <c r="F154" s="184">
        <v>0.02</v>
      </c>
      <c r="G154" s="185">
        <v>1.9E-2</v>
      </c>
      <c r="H154" s="185">
        <v>1.9E-2</v>
      </c>
      <c r="I154" s="185">
        <v>1.7999999999999999E-2</v>
      </c>
      <c r="J154" s="185">
        <v>1.7999999999999999E-2</v>
      </c>
      <c r="K154" s="185">
        <v>1.7999999999999999E-2</v>
      </c>
      <c r="L154" s="185">
        <v>1.7999999999999999E-2</v>
      </c>
      <c r="M154" s="185">
        <v>1.7999999999999999E-2</v>
      </c>
      <c r="N154" s="186">
        <v>1.7999999999999999E-2</v>
      </c>
      <c r="O154" s="414"/>
      <c r="Q154" s="419" t="s">
        <v>397</v>
      </c>
      <c r="R154" s="253"/>
      <c r="S154" s="253"/>
      <c r="T154" s="253"/>
      <c r="U154" s="253"/>
      <c r="V154" s="253"/>
      <c r="X154" s="419" t="s">
        <v>398</v>
      </c>
      <c r="Y154" s="253"/>
      <c r="Z154" s="253"/>
      <c r="AA154" s="253"/>
      <c r="AB154" s="253"/>
      <c r="AC154" s="253"/>
    </row>
    <row r="155" spans="2:29" ht="15" customHeight="1" x14ac:dyDescent="0.3">
      <c r="B155" s="191" t="str">
        <f>$B$17</f>
        <v>Worst Case</v>
      </c>
      <c r="F155" s="187">
        <v>2.5999999999999999E-2</v>
      </c>
      <c r="G155" s="188">
        <v>2.4E-2</v>
      </c>
      <c r="H155" s="188">
        <v>2.1999999999999999E-2</v>
      </c>
      <c r="I155" s="188">
        <v>2.1000000000000001E-2</v>
      </c>
      <c r="J155" s="188">
        <v>0.02</v>
      </c>
      <c r="K155" s="188">
        <v>1.9E-2</v>
      </c>
      <c r="L155" s="188">
        <v>1.7999999999999999E-2</v>
      </c>
      <c r="M155" s="188">
        <v>1.7999999999999999E-2</v>
      </c>
      <c r="N155" s="189">
        <v>1.7999999999999999E-2</v>
      </c>
      <c r="O155" s="414"/>
    </row>
    <row r="156" spans="2:29" ht="15" customHeight="1" x14ac:dyDescent="0.3">
      <c r="B156" s="238"/>
      <c r="O156" s="414"/>
      <c r="U156" s="415" t="s">
        <v>403</v>
      </c>
      <c r="V156" s="446" t="s">
        <v>404</v>
      </c>
      <c r="X156" s="165" t="s">
        <v>401</v>
      </c>
      <c r="AC156" s="438">
        <v>0.05</v>
      </c>
    </row>
    <row r="157" spans="2:29" ht="15" customHeight="1" x14ac:dyDescent="0.3">
      <c r="B157" s="174" t="s">
        <v>373</v>
      </c>
      <c r="F157" s="175" cm="1">
        <f t="array" ref="F157">INDEX(F159:F161,$D$8)</f>
        <v>1.7999999999999999E-2</v>
      </c>
      <c r="G157" s="176" cm="1">
        <f t="array" ref="G157">INDEX(G159:G161,$D$8)</f>
        <v>1.7999999999999999E-2</v>
      </c>
      <c r="H157" s="176" cm="1">
        <f t="array" ref="H157">INDEX(H159:H161,$D$8)</f>
        <v>1.7999999999999999E-2</v>
      </c>
      <c r="I157" s="176" cm="1">
        <f t="array" ref="I157">INDEX(I159:I161,$D$8)</f>
        <v>1.7999999999999999E-2</v>
      </c>
      <c r="J157" s="176" cm="1">
        <f t="array" ref="J157">INDEX(J159:J161,$D$8)</f>
        <v>1.7999999999999999E-2</v>
      </c>
      <c r="K157" s="176" cm="1">
        <f t="array" ref="K157">INDEX(K159:K161,$D$8)</f>
        <v>1.7999999999999999E-2</v>
      </c>
      <c r="L157" s="176" cm="1">
        <f t="array" ref="L157">INDEX(L159:L161,$D$8)</f>
        <v>1.7999999999999999E-2</v>
      </c>
      <c r="M157" s="176" cm="1">
        <f t="array" ref="M157">INDEX(M159:M161,$D$8)</f>
        <v>1.7999999999999999E-2</v>
      </c>
      <c r="N157" s="177" cm="1">
        <f t="array" ref="N157">INDEX(N159:N161,$D$8)</f>
        <v>1.7999999999999999E-2</v>
      </c>
      <c r="O157" s="414"/>
      <c r="Q157" s="165" t="s">
        <v>399</v>
      </c>
      <c r="U157" s="272">
        <v>0</v>
      </c>
      <c r="V157" s="271">
        <f>AA143</f>
        <v>0.12905702479690576</v>
      </c>
      <c r="X157" s="165" t="s">
        <v>384</v>
      </c>
      <c r="AC157" s="439">
        <f>E209</f>
        <v>0.25800000000000001</v>
      </c>
    </row>
    <row r="158" spans="2:29" ht="15" customHeight="1" x14ac:dyDescent="0.3">
      <c r="B158" s="238"/>
      <c r="O158" s="414"/>
      <c r="Q158" s="165" t="s">
        <v>406</v>
      </c>
      <c r="T158" s="441"/>
      <c r="U158" s="442">
        <f>1-U157</f>
        <v>1</v>
      </c>
      <c r="V158" s="442">
        <f>1-V157</f>
        <v>0.87094297520309427</v>
      </c>
      <c r="X158" s="165" t="s">
        <v>422</v>
      </c>
      <c r="AC158" s="373">
        <f>AC156*(1-AC157)</f>
        <v>3.7100000000000001E-2</v>
      </c>
    </row>
    <row r="159" spans="2:29" ht="15" customHeight="1" x14ac:dyDescent="0.3">
      <c r="B159" s="190" t="str">
        <f>$B$15</f>
        <v>Best Case</v>
      </c>
      <c r="F159" s="181">
        <v>1.7999999999999999E-2</v>
      </c>
      <c r="G159" s="182">
        <v>1.7000000000000001E-2</v>
      </c>
      <c r="H159" s="182">
        <v>1.7000000000000001E-2</v>
      </c>
      <c r="I159" s="182">
        <v>1.6E-2</v>
      </c>
      <c r="J159" s="182">
        <v>1.6E-2</v>
      </c>
      <c r="K159" s="182">
        <v>1.6E-2</v>
      </c>
      <c r="L159" s="182">
        <v>1.6E-2</v>
      </c>
      <c r="M159" s="182">
        <v>1.6E-2</v>
      </c>
      <c r="N159" s="183">
        <v>1.6E-2</v>
      </c>
      <c r="O159" s="414"/>
      <c r="Q159" s="165" t="s">
        <v>400</v>
      </c>
      <c r="U159" s="271">
        <f>SUM(U157:U158)</f>
        <v>1</v>
      </c>
      <c r="V159" s="271">
        <f>SUM(V157:V158)</f>
        <v>1</v>
      </c>
    </row>
    <row r="160" spans="2:29" ht="15" customHeight="1" x14ac:dyDescent="0.3">
      <c r="B160" s="191" t="str">
        <f>$B$16</f>
        <v>Base Case</v>
      </c>
      <c r="F160" s="184">
        <v>1.7999999999999999E-2</v>
      </c>
      <c r="G160" s="185">
        <v>1.7999999999999999E-2</v>
      </c>
      <c r="H160" s="185">
        <v>1.7999999999999999E-2</v>
      </c>
      <c r="I160" s="185">
        <v>1.7999999999999999E-2</v>
      </c>
      <c r="J160" s="185">
        <v>1.7999999999999999E-2</v>
      </c>
      <c r="K160" s="185">
        <v>1.7999999999999999E-2</v>
      </c>
      <c r="L160" s="185">
        <v>1.7999999999999999E-2</v>
      </c>
      <c r="M160" s="185">
        <v>1.7999999999999999E-2</v>
      </c>
      <c r="N160" s="186">
        <v>1.7999999999999999E-2</v>
      </c>
      <c r="O160" s="414"/>
      <c r="Q160" s="165"/>
    </row>
    <row r="161" spans="1:30" ht="15" customHeight="1" x14ac:dyDescent="0.3">
      <c r="B161" s="191" t="str">
        <f>$B$17</f>
        <v>Worst Case</v>
      </c>
      <c r="F161" s="187">
        <v>1.7999999999999999E-2</v>
      </c>
      <c r="G161" s="188">
        <v>1.9E-2</v>
      </c>
      <c r="H161" s="188">
        <v>1.9E-2</v>
      </c>
      <c r="I161" s="188">
        <v>0.02</v>
      </c>
      <c r="J161" s="188">
        <v>0.02</v>
      </c>
      <c r="K161" s="188">
        <v>1.9E-2</v>
      </c>
      <c r="L161" s="188">
        <v>1.7999999999999999E-2</v>
      </c>
      <c r="M161" s="188">
        <v>1.7999999999999999E-2</v>
      </c>
      <c r="N161" s="189">
        <v>1.7999999999999999E-2</v>
      </c>
      <c r="O161" s="414"/>
      <c r="Q161" s="165" t="s">
        <v>402</v>
      </c>
      <c r="U161" s="271">
        <f>U157/U158</f>
        <v>0</v>
      </c>
      <c r="V161" s="271">
        <f>V157/V158</f>
        <v>0.14818079767715112</v>
      </c>
      <c r="X161" s="419" t="s">
        <v>379</v>
      </c>
      <c r="Y161" s="253"/>
      <c r="Z161" s="253"/>
      <c r="AA161" s="253"/>
      <c r="AB161" s="253"/>
      <c r="AC161" s="253"/>
    </row>
    <row r="162" spans="1:30" ht="15" customHeight="1" x14ac:dyDescent="0.3">
      <c r="B162" s="238"/>
      <c r="O162" s="414"/>
    </row>
    <row r="163" spans="1:30" ht="15" customHeight="1" x14ac:dyDescent="0.3">
      <c r="B163" s="174" t="s">
        <v>374</v>
      </c>
      <c r="F163" s="175" cm="1">
        <f t="array" ref="F163">INDEX(F165:F167,$D$8)</f>
        <v>-0.25</v>
      </c>
      <c r="G163" s="176" cm="1">
        <f t="array" ref="G163">INDEX(G165:G167,$D$8)</f>
        <v>-0.25</v>
      </c>
      <c r="H163" s="176" cm="1">
        <f t="array" ref="H163">INDEX(H165:H167,$D$8)</f>
        <v>-0.25</v>
      </c>
      <c r="I163" s="176" cm="1">
        <f t="array" ref="I163">INDEX(I165:I167,$D$8)</f>
        <v>-0.25</v>
      </c>
      <c r="J163" s="176" cm="1">
        <f t="array" ref="J163">INDEX(J165:J167,$D$8)</f>
        <v>-0.25</v>
      </c>
      <c r="K163" s="176" cm="1">
        <f t="array" ref="K163">INDEX(K165:K167,$D$8)</f>
        <v>-0.25</v>
      </c>
      <c r="L163" s="176" cm="1">
        <f t="array" ref="L163">INDEX(L165:L167,$D$8)</f>
        <v>-0.25</v>
      </c>
      <c r="M163" s="176" cm="1">
        <f t="array" ref="M163">INDEX(M165:M167,$D$8)</f>
        <v>-0.25</v>
      </c>
      <c r="N163" s="177" cm="1">
        <f t="array" ref="N163">INDEX(N165:N167,$D$8)</f>
        <v>-0.25</v>
      </c>
      <c r="O163" s="414"/>
      <c r="AB163" s="424" t="s">
        <v>407</v>
      </c>
      <c r="AC163" s="424" t="s">
        <v>408</v>
      </c>
    </row>
    <row r="164" spans="1:30" ht="15" customHeight="1" x14ac:dyDescent="0.3">
      <c r="O164" s="414"/>
      <c r="V164" s="561" t="s">
        <v>420</v>
      </c>
      <c r="X164" s="165" t="s">
        <v>405</v>
      </c>
      <c r="AB164" s="373">
        <f>V157</f>
        <v>0.12905702479690576</v>
      </c>
      <c r="AC164" s="373">
        <f>AC158</f>
        <v>3.7100000000000001E-2</v>
      </c>
    </row>
    <row r="165" spans="1:30" ht="15" customHeight="1" x14ac:dyDescent="0.3">
      <c r="B165" s="190" t="str">
        <f>$B$15</f>
        <v>Best Case</v>
      </c>
      <c r="F165" s="181">
        <v>-0.26</v>
      </c>
      <c r="G165" s="182">
        <v>-0.26</v>
      </c>
      <c r="H165" s="182">
        <v>-0.26</v>
      </c>
      <c r="I165" s="182">
        <v>-0.26</v>
      </c>
      <c r="J165" s="182">
        <v>-0.26</v>
      </c>
      <c r="K165" s="182">
        <v>-0.26</v>
      </c>
      <c r="L165" s="182">
        <v>-0.26</v>
      </c>
      <c r="M165" s="182">
        <v>-0.26</v>
      </c>
      <c r="N165" s="183">
        <v>-0.26</v>
      </c>
      <c r="O165" s="414"/>
      <c r="V165" s="562" t="s">
        <v>423</v>
      </c>
      <c r="X165" s="165" t="s">
        <v>406</v>
      </c>
      <c r="AB165" s="373">
        <f>V158</f>
        <v>0.87094297520309427</v>
      </c>
      <c r="AC165" s="373">
        <f>AC152</f>
        <v>0.118367003654932</v>
      </c>
    </row>
    <row r="166" spans="1:30" ht="15" customHeight="1" thickBot="1" x14ac:dyDescent="0.35">
      <c r="B166" s="191" t="str">
        <f>$B$16</f>
        <v>Base Case</v>
      </c>
      <c r="F166" s="184">
        <v>-0.25</v>
      </c>
      <c r="G166" s="185">
        <v>-0.25</v>
      </c>
      <c r="H166" s="185">
        <v>-0.25</v>
      </c>
      <c r="I166" s="185">
        <v>-0.25</v>
      </c>
      <c r="J166" s="185">
        <v>-0.25</v>
      </c>
      <c r="K166" s="185">
        <v>-0.25</v>
      </c>
      <c r="L166" s="185">
        <v>-0.25</v>
      </c>
      <c r="M166" s="185">
        <v>-0.25</v>
      </c>
      <c r="N166" s="186">
        <v>-0.25</v>
      </c>
      <c r="O166" s="414"/>
      <c r="V166" s="564" t="s">
        <v>487</v>
      </c>
    </row>
    <row r="167" spans="1:30" ht="15" customHeight="1" x14ac:dyDescent="0.3">
      <c r="B167" s="191" t="str">
        <f>$B$17</f>
        <v>Worst Case</v>
      </c>
      <c r="F167" s="187">
        <v>-0.23499999999999999</v>
      </c>
      <c r="G167" s="188">
        <v>-0.23499999999999999</v>
      </c>
      <c r="H167" s="188">
        <v>-0.23499999999999999</v>
      </c>
      <c r="I167" s="188">
        <v>-0.23499999999999999</v>
      </c>
      <c r="J167" s="188">
        <v>-0.23499999999999999</v>
      </c>
      <c r="K167" s="188">
        <v>-0.23499999999999999</v>
      </c>
      <c r="L167" s="188">
        <v>-0.23499999999999999</v>
      </c>
      <c r="M167" s="188">
        <v>-0.23499999999999999</v>
      </c>
      <c r="N167" s="189">
        <v>-0.23499999999999999</v>
      </c>
      <c r="O167" s="414"/>
      <c r="V167" s="563" t="s">
        <v>486</v>
      </c>
      <c r="X167" s="174" t="s">
        <v>379</v>
      </c>
      <c r="AC167" s="445">
        <f>SUMPRODUCT(AB164:AB165,AC164:AC165)</f>
        <v>0.1078789259490672</v>
      </c>
    </row>
    <row r="169" spans="1:30" s="244" customFormat="1" ht="15" customHeight="1" x14ac:dyDescent="0.3"/>
    <row r="170" spans="1:30" ht="15" customHeight="1" x14ac:dyDescent="0.3">
      <c r="B170" s="238"/>
    </row>
    <row r="171" spans="1:30" ht="15" customHeight="1" x14ac:dyDescent="0.3">
      <c r="A171" s="149" t="s">
        <v>33</v>
      </c>
      <c r="B171" s="152" t="s">
        <v>25</v>
      </c>
      <c r="C171" s="153"/>
      <c r="D171" s="153"/>
      <c r="E171" s="153"/>
      <c r="F171" s="153"/>
      <c r="G171" s="153"/>
      <c r="H171" s="153"/>
      <c r="I171" s="153"/>
      <c r="J171" s="153"/>
      <c r="K171" s="153"/>
      <c r="L171" s="153"/>
      <c r="M171" s="153"/>
      <c r="N171" s="153"/>
      <c r="O171" s="153"/>
      <c r="P171" s="153"/>
      <c r="Q171" s="153"/>
      <c r="R171" s="153"/>
      <c r="S171" s="153"/>
      <c r="T171" s="153"/>
      <c r="U171" s="153"/>
      <c r="V171" s="153"/>
      <c r="W171" s="153"/>
      <c r="X171" s="153"/>
      <c r="Y171" s="153"/>
      <c r="Z171" s="153"/>
      <c r="AA171" s="153"/>
      <c r="AB171" s="153"/>
      <c r="AC171" s="153"/>
    </row>
    <row r="172" spans="1:30" ht="15" customHeight="1" x14ac:dyDescent="0.3">
      <c r="F172" s="249"/>
      <c r="G172" s="249"/>
      <c r="H172" s="249"/>
      <c r="I172" s="249"/>
      <c r="J172" s="249"/>
      <c r="K172" s="249"/>
      <c r="L172" s="249"/>
      <c r="M172" s="249"/>
      <c r="N172" s="249"/>
      <c r="O172" s="249"/>
      <c r="P172" s="249"/>
      <c r="Q172" s="249"/>
      <c r="R172" s="249"/>
      <c r="S172" s="249"/>
      <c r="T172" s="249"/>
      <c r="U172" s="249"/>
      <c r="V172" s="249"/>
      <c r="W172" s="249"/>
      <c r="X172" s="249"/>
      <c r="Y172" s="249"/>
      <c r="Z172" s="249"/>
      <c r="AA172" s="249"/>
      <c r="AB172" s="249"/>
      <c r="AC172" s="249"/>
    </row>
    <row r="173" spans="1:30" ht="15" customHeight="1" x14ac:dyDescent="0.3">
      <c r="B173" s="155" t="s">
        <v>24</v>
      </c>
      <c r="F173" s="249"/>
      <c r="G173" s="249"/>
      <c r="H173" s="249"/>
      <c r="I173" s="249"/>
      <c r="J173" s="249"/>
      <c r="K173" s="249"/>
      <c r="L173" s="249"/>
      <c r="M173" s="249"/>
      <c r="N173" s="249"/>
      <c r="O173" s="249"/>
      <c r="P173" s="249"/>
      <c r="Q173" s="249"/>
      <c r="R173" s="249"/>
      <c r="S173" s="249"/>
      <c r="T173" s="249"/>
      <c r="U173" s="249"/>
      <c r="V173" s="249"/>
      <c r="W173" s="249"/>
      <c r="X173" s="249"/>
      <c r="Y173" s="249"/>
      <c r="Z173" s="249"/>
      <c r="AA173" s="249"/>
      <c r="AB173" s="249"/>
      <c r="AC173" s="249"/>
    </row>
    <row r="174" spans="1:30" ht="15" customHeight="1" x14ac:dyDescent="0.3">
      <c r="B174" s="155"/>
      <c r="F174" s="250"/>
      <c r="G174" s="250"/>
      <c r="H174" s="250"/>
      <c r="I174" s="250"/>
      <c r="J174" s="250"/>
      <c r="K174" s="250"/>
      <c r="L174" s="250"/>
      <c r="M174" s="250"/>
      <c r="N174" s="250"/>
      <c r="O174" s="250"/>
      <c r="P174" s="250"/>
      <c r="Q174" s="250"/>
      <c r="R174" s="250"/>
      <c r="S174" s="250"/>
      <c r="T174" s="250"/>
      <c r="U174" s="250"/>
      <c r="V174" s="250"/>
      <c r="W174" s="250"/>
      <c r="X174" s="250"/>
      <c r="Y174" s="250"/>
      <c r="Z174" s="250"/>
      <c r="AA174" s="250"/>
      <c r="AB174" s="250"/>
      <c r="AC174" s="250"/>
      <c r="AD174" s="251"/>
    </row>
    <row r="175" spans="1:30" ht="15" customHeight="1" x14ac:dyDescent="0.3">
      <c r="B175" s="155"/>
      <c r="F175" s="250"/>
      <c r="G175" s="250"/>
      <c r="H175" s="250"/>
      <c r="I175" s="250"/>
      <c r="J175" s="250"/>
      <c r="K175" s="250"/>
      <c r="L175" s="250"/>
      <c r="M175" s="250"/>
      <c r="N175" s="250"/>
      <c r="O175" s="250"/>
      <c r="P175" s="250"/>
      <c r="Q175" s="250"/>
      <c r="R175" s="250"/>
      <c r="S175" s="250"/>
      <c r="T175" s="250"/>
      <c r="U175" s="250"/>
      <c r="V175" s="250"/>
      <c r="W175" s="250"/>
      <c r="X175" s="250"/>
      <c r="Y175" s="250"/>
      <c r="Z175" s="250"/>
      <c r="AA175" s="250"/>
      <c r="AB175" s="250"/>
      <c r="AC175" s="250"/>
      <c r="AD175" s="251"/>
    </row>
    <row r="176" spans="1:30" ht="15" customHeight="1" x14ac:dyDescent="0.3">
      <c r="B176" s="252" t="s">
        <v>26</v>
      </c>
      <c r="C176" s="253"/>
      <c r="D176" s="253"/>
      <c r="E176" s="253"/>
      <c r="F176" s="251"/>
      <c r="G176" s="251"/>
      <c r="H176" s="251"/>
      <c r="I176" s="251"/>
      <c r="J176" s="251"/>
      <c r="K176" s="251"/>
      <c r="L176" s="251"/>
      <c r="M176" s="251"/>
      <c r="N176" s="251"/>
      <c r="O176" s="251"/>
      <c r="P176" s="251"/>
      <c r="Q176" s="251"/>
      <c r="R176" s="251"/>
      <c r="S176" s="251"/>
      <c r="T176" s="251"/>
      <c r="U176" s="251"/>
      <c r="V176" s="251"/>
      <c r="W176" s="251"/>
      <c r="X176" s="251"/>
      <c r="Y176" s="251"/>
      <c r="Z176" s="251"/>
      <c r="AA176" s="251"/>
      <c r="AB176" s="251"/>
      <c r="AC176" s="251"/>
      <c r="AD176" s="251"/>
    </row>
    <row r="177" spans="2:30" ht="15" customHeight="1" x14ac:dyDescent="0.3">
      <c r="B177" s="254" t="s">
        <v>54</v>
      </c>
      <c r="C177" s="255" t="s">
        <v>40</v>
      </c>
      <c r="D177" s="256"/>
      <c r="E177" s="221">
        <v>875</v>
      </c>
      <c r="F177" s="261"/>
      <c r="G177" s="261"/>
      <c r="H177" s="261"/>
      <c r="I177" s="261"/>
      <c r="J177" s="261"/>
      <c r="K177" s="261"/>
      <c r="L177" s="261"/>
      <c r="M177" s="261"/>
      <c r="N177" s="261"/>
      <c r="O177" s="261"/>
      <c r="P177" s="261"/>
      <c r="Q177" s="261"/>
      <c r="R177" s="261"/>
      <c r="S177" s="261"/>
      <c r="T177" s="261"/>
      <c r="U177" s="261"/>
      <c r="V177" s="261"/>
      <c r="W177" s="261"/>
      <c r="X177" s="261"/>
      <c r="Y177" s="261"/>
      <c r="Z177" s="261"/>
      <c r="AA177" s="261"/>
      <c r="AB177" s="261"/>
      <c r="AC177" s="261"/>
      <c r="AD177" s="251"/>
    </row>
    <row r="178" spans="2:30" ht="15" customHeight="1" x14ac:dyDescent="0.3">
      <c r="B178" s="254" t="s">
        <v>55</v>
      </c>
      <c r="C178" s="255" t="s">
        <v>40</v>
      </c>
      <c r="D178" s="256"/>
      <c r="E178" s="221">
        <v>34</v>
      </c>
      <c r="F178" s="261"/>
      <c r="G178" s="261"/>
      <c r="H178" s="261"/>
      <c r="I178" s="261"/>
      <c r="J178" s="261"/>
      <c r="K178" s="261"/>
      <c r="L178" s="261"/>
      <c r="M178" s="261"/>
      <c r="N178" s="261"/>
      <c r="O178" s="261"/>
      <c r="P178" s="261"/>
      <c r="Q178" s="261"/>
      <c r="R178" s="261"/>
      <c r="S178" s="261"/>
      <c r="T178" s="261"/>
      <c r="U178" s="261"/>
      <c r="V178" s="261"/>
      <c r="W178" s="261"/>
      <c r="X178" s="261"/>
      <c r="Y178" s="261"/>
      <c r="Z178" s="261"/>
      <c r="AA178" s="261"/>
      <c r="AB178" s="261"/>
      <c r="AC178" s="261"/>
      <c r="AD178" s="251"/>
    </row>
    <row r="179" spans="2:30" ht="15" customHeight="1" x14ac:dyDescent="0.3">
      <c r="B179" s="165" t="s">
        <v>39</v>
      </c>
      <c r="C179" s="255" t="s">
        <v>40</v>
      </c>
      <c r="D179" s="257"/>
      <c r="E179" s="221">
        <v>850</v>
      </c>
      <c r="F179" s="261"/>
      <c r="G179" s="261"/>
      <c r="H179" s="261"/>
      <c r="I179" s="261"/>
      <c r="J179" s="261"/>
      <c r="K179" s="261"/>
      <c r="L179" s="261"/>
      <c r="M179" s="261"/>
      <c r="N179" s="261"/>
      <c r="O179" s="261"/>
      <c r="P179" s="261"/>
      <c r="Q179" s="261"/>
      <c r="R179" s="261"/>
      <c r="S179" s="261"/>
      <c r="T179" s="261"/>
      <c r="U179" s="261"/>
      <c r="V179" s="261"/>
      <c r="W179" s="261"/>
      <c r="X179" s="261"/>
      <c r="Y179" s="261"/>
      <c r="Z179" s="261"/>
      <c r="AA179" s="261"/>
      <c r="AB179" s="261"/>
      <c r="AC179" s="261"/>
      <c r="AD179" s="251"/>
    </row>
    <row r="180" spans="2:30" ht="15" customHeight="1" x14ac:dyDescent="0.3">
      <c r="B180" s="165" t="s">
        <v>38</v>
      </c>
      <c r="C180" s="255" t="s">
        <v>58</v>
      </c>
      <c r="D180" s="257"/>
      <c r="E180" s="221">
        <v>1050</v>
      </c>
      <c r="F180" s="261"/>
      <c r="G180" s="261"/>
      <c r="H180" s="261"/>
      <c r="I180" s="261"/>
      <c r="J180" s="261"/>
      <c r="K180" s="261"/>
      <c r="L180" s="261"/>
      <c r="M180" s="261"/>
      <c r="N180" s="261"/>
      <c r="O180" s="261"/>
      <c r="P180" s="261"/>
      <c r="Q180" s="261"/>
      <c r="R180" s="261"/>
      <c r="S180" s="261"/>
      <c r="T180" s="261"/>
      <c r="U180" s="261"/>
      <c r="V180" s="261"/>
      <c r="W180" s="261"/>
      <c r="X180" s="261"/>
      <c r="Y180" s="261"/>
      <c r="Z180" s="261"/>
      <c r="AA180" s="261"/>
      <c r="AB180" s="261"/>
      <c r="AC180" s="261"/>
      <c r="AD180" s="251"/>
    </row>
    <row r="181" spans="2:30" ht="15" customHeight="1" x14ac:dyDescent="0.3">
      <c r="B181" s="165" t="s">
        <v>44</v>
      </c>
      <c r="C181" s="258"/>
      <c r="D181" s="257"/>
      <c r="E181" s="221">
        <v>892.5</v>
      </c>
      <c r="F181" s="261"/>
      <c r="G181" s="261"/>
      <c r="H181" s="261"/>
      <c r="I181" s="261"/>
      <c r="J181" s="261"/>
      <c r="K181" s="261"/>
      <c r="L181" s="261"/>
      <c r="M181" s="261"/>
      <c r="N181" s="261"/>
      <c r="O181" s="261"/>
      <c r="P181" s="261"/>
      <c r="Q181" s="261"/>
      <c r="R181" s="261"/>
      <c r="S181" s="261"/>
      <c r="T181" s="261"/>
      <c r="U181" s="261"/>
      <c r="V181" s="261"/>
      <c r="W181" s="261"/>
      <c r="X181" s="261"/>
      <c r="Y181" s="261"/>
      <c r="Z181" s="261"/>
      <c r="AA181" s="261"/>
      <c r="AB181" s="261"/>
      <c r="AC181" s="261"/>
      <c r="AD181" s="251"/>
    </row>
    <row r="182" spans="2:30" ht="15" customHeight="1" x14ac:dyDescent="0.3">
      <c r="B182" s="165" t="s">
        <v>10</v>
      </c>
      <c r="C182" s="258"/>
      <c r="D182" s="257"/>
      <c r="E182" s="221">
        <v>10710</v>
      </c>
      <c r="F182" s="261"/>
      <c r="G182" s="261"/>
      <c r="H182" s="261"/>
      <c r="I182" s="261"/>
      <c r="J182" s="261"/>
      <c r="K182" s="261"/>
      <c r="L182" s="261"/>
      <c r="M182" s="261"/>
      <c r="N182" s="261"/>
      <c r="O182" s="261"/>
      <c r="P182" s="261"/>
      <c r="Q182" s="261"/>
      <c r="R182" s="261"/>
      <c r="S182" s="261"/>
      <c r="T182" s="261"/>
      <c r="U182" s="261"/>
      <c r="V182" s="261"/>
      <c r="W182" s="261"/>
      <c r="X182" s="261"/>
      <c r="Y182" s="261"/>
      <c r="Z182" s="261"/>
      <c r="AA182" s="261"/>
      <c r="AB182" s="261"/>
      <c r="AC182" s="261"/>
      <c r="AD182" s="251"/>
    </row>
    <row r="183" spans="2:30" ht="15" customHeight="1" x14ac:dyDescent="0.3">
      <c r="B183" s="165" t="s">
        <v>36</v>
      </c>
      <c r="C183" s="258"/>
      <c r="D183" s="257"/>
      <c r="E183" s="221">
        <v>3850</v>
      </c>
      <c r="F183" s="261"/>
      <c r="G183" s="261"/>
      <c r="H183" s="262"/>
      <c r="I183" s="261"/>
      <c r="J183" s="261"/>
      <c r="K183" s="261"/>
      <c r="L183" s="261"/>
      <c r="M183" s="261"/>
      <c r="N183" s="261"/>
      <c r="O183" s="261"/>
      <c r="P183" s="261"/>
      <c r="Q183" s="261"/>
      <c r="R183" s="261"/>
      <c r="S183" s="261"/>
      <c r="T183" s="261"/>
      <c r="U183" s="261"/>
      <c r="V183" s="261"/>
      <c r="W183" s="261"/>
      <c r="X183" s="261"/>
      <c r="Y183" s="261"/>
      <c r="Z183" s="261"/>
      <c r="AA183" s="261"/>
      <c r="AB183" s="261"/>
      <c r="AC183" s="261"/>
      <c r="AD183" s="251"/>
    </row>
    <row r="184" spans="2:30" ht="15" customHeight="1" x14ac:dyDescent="0.3">
      <c r="B184" s="165" t="s">
        <v>37</v>
      </c>
      <c r="C184" s="255" t="s">
        <v>40</v>
      </c>
      <c r="D184" s="257"/>
      <c r="E184" s="221">
        <v>95</v>
      </c>
      <c r="F184" s="261"/>
      <c r="G184" s="261"/>
      <c r="H184" s="261"/>
      <c r="I184" s="261"/>
      <c r="J184" s="261"/>
      <c r="K184" s="261"/>
      <c r="L184" s="261"/>
      <c r="M184" s="261"/>
      <c r="N184" s="261"/>
      <c r="O184" s="261"/>
      <c r="P184" s="261"/>
      <c r="Q184" s="261"/>
      <c r="R184" s="261"/>
      <c r="S184" s="261"/>
      <c r="T184" s="261"/>
      <c r="U184" s="261"/>
      <c r="V184" s="261"/>
      <c r="W184" s="261"/>
      <c r="X184" s="261"/>
      <c r="Y184" s="261"/>
      <c r="Z184" s="261"/>
      <c r="AA184" s="261"/>
      <c r="AB184" s="261"/>
      <c r="AC184" s="261"/>
      <c r="AD184" s="251"/>
    </row>
    <row r="185" spans="2:30" ht="15" customHeight="1" x14ac:dyDescent="0.3">
      <c r="B185" s="191" t="s">
        <v>79</v>
      </c>
      <c r="C185" s="255"/>
      <c r="D185" s="257"/>
      <c r="E185" s="221">
        <v>20</v>
      </c>
      <c r="F185" s="261"/>
      <c r="G185" s="261"/>
      <c r="H185" s="261"/>
      <c r="I185" s="261"/>
      <c r="J185" s="261"/>
      <c r="K185" s="261"/>
      <c r="L185" s="261"/>
      <c r="M185" s="261"/>
      <c r="N185" s="261"/>
      <c r="O185" s="261"/>
      <c r="P185" s="261"/>
      <c r="Q185" s="261"/>
      <c r="R185" s="261"/>
      <c r="S185" s="261"/>
      <c r="T185" s="261"/>
      <c r="U185" s="261"/>
      <c r="V185" s="261"/>
      <c r="W185" s="261"/>
      <c r="X185" s="261"/>
      <c r="Y185" s="261"/>
      <c r="Z185" s="261"/>
      <c r="AA185" s="261"/>
      <c r="AB185" s="261"/>
      <c r="AC185" s="261"/>
      <c r="AD185" s="251"/>
    </row>
    <row r="186" spans="2:30" ht="15" customHeight="1" x14ac:dyDescent="0.3">
      <c r="B186" s="191" t="s">
        <v>83</v>
      </c>
      <c r="C186" s="255"/>
      <c r="D186" s="257"/>
      <c r="E186" s="221">
        <v>8</v>
      </c>
      <c r="F186" s="261"/>
      <c r="G186" s="261"/>
      <c r="H186" s="261"/>
      <c r="I186" s="261"/>
      <c r="J186" s="261"/>
      <c r="K186" s="261"/>
      <c r="L186" s="261"/>
      <c r="M186" s="261"/>
      <c r="N186" s="261"/>
      <c r="O186" s="261"/>
      <c r="P186" s="261"/>
      <c r="Q186" s="261"/>
      <c r="R186" s="261"/>
      <c r="S186" s="261"/>
      <c r="T186" s="261"/>
      <c r="U186" s="261"/>
      <c r="V186" s="261"/>
      <c r="W186" s="261"/>
      <c r="X186" s="261"/>
      <c r="Y186" s="261"/>
      <c r="Z186" s="261"/>
      <c r="AA186" s="261"/>
      <c r="AB186" s="261"/>
      <c r="AC186" s="261"/>
      <c r="AD186" s="251"/>
    </row>
    <row r="187" spans="2:30" ht="15" customHeight="1" x14ac:dyDescent="0.3">
      <c r="B187" s="191" t="s">
        <v>84</v>
      </c>
      <c r="C187" s="255"/>
      <c r="D187" s="257"/>
      <c r="E187" s="221">
        <v>15</v>
      </c>
      <c r="F187" s="261"/>
      <c r="G187" s="261"/>
      <c r="H187" s="261"/>
      <c r="I187" s="261"/>
      <c r="J187" s="261"/>
      <c r="K187" s="261"/>
      <c r="L187" s="261"/>
      <c r="M187" s="261"/>
      <c r="N187" s="261"/>
      <c r="O187" s="261"/>
      <c r="P187" s="261"/>
      <c r="Q187" s="261"/>
      <c r="R187" s="261"/>
      <c r="S187" s="261"/>
      <c r="T187" s="261"/>
      <c r="U187" s="261"/>
      <c r="V187" s="261"/>
      <c r="W187" s="261"/>
      <c r="X187" s="261"/>
      <c r="Y187" s="261"/>
      <c r="Z187" s="261"/>
      <c r="AA187" s="261"/>
      <c r="AB187" s="261"/>
      <c r="AC187" s="261"/>
      <c r="AD187" s="251"/>
    </row>
    <row r="188" spans="2:30" ht="15" customHeight="1" x14ac:dyDescent="0.3">
      <c r="B188" s="191" t="s">
        <v>85</v>
      </c>
      <c r="C188" s="255"/>
      <c r="D188" s="257"/>
      <c r="E188" s="221">
        <v>35</v>
      </c>
      <c r="F188" s="261"/>
      <c r="G188" s="261"/>
      <c r="H188" s="261"/>
      <c r="I188" s="261"/>
      <c r="J188" s="261"/>
      <c r="K188" s="261"/>
      <c r="L188" s="261"/>
      <c r="M188" s="261"/>
      <c r="N188" s="261"/>
      <c r="O188" s="261"/>
      <c r="P188" s="261"/>
      <c r="Q188" s="261"/>
      <c r="R188" s="261"/>
      <c r="S188" s="261"/>
      <c r="T188" s="261"/>
      <c r="U188" s="261"/>
      <c r="V188" s="261"/>
      <c r="W188" s="261"/>
      <c r="X188" s="261"/>
      <c r="Y188" s="261"/>
      <c r="Z188" s="261"/>
      <c r="AA188" s="261"/>
      <c r="AB188" s="261"/>
      <c r="AC188" s="261"/>
      <c r="AD188" s="251"/>
    </row>
    <row r="189" spans="2:30" ht="15" customHeight="1" x14ac:dyDescent="0.3">
      <c r="B189" s="191" t="s">
        <v>86</v>
      </c>
      <c r="C189" s="255"/>
      <c r="D189" s="257"/>
      <c r="E189" s="221">
        <v>17</v>
      </c>
      <c r="F189" s="261"/>
      <c r="G189" s="261"/>
      <c r="H189" s="261"/>
      <c r="I189" s="261"/>
      <c r="J189" s="261"/>
      <c r="K189" s="261"/>
      <c r="L189" s="261"/>
      <c r="M189" s="261"/>
      <c r="N189" s="261"/>
      <c r="O189" s="261"/>
      <c r="P189" s="261"/>
      <c r="Q189" s="261"/>
      <c r="R189" s="261"/>
      <c r="S189" s="261"/>
      <c r="T189" s="261"/>
      <c r="U189" s="261"/>
      <c r="V189" s="261"/>
      <c r="W189" s="261"/>
      <c r="X189" s="261"/>
      <c r="Y189" s="261"/>
      <c r="Z189" s="261"/>
      <c r="AA189" s="261"/>
      <c r="AB189" s="261"/>
      <c r="AC189" s="261"/>
      <c r="AD189" s="251"/>
    </row>
    <row r="190" spans="2:30" ht="15" customHeight="1" x14ac:dyDescent="0.3">
      <c r="B190" s="165" t="s">
        <v>175</v>
      </c>
      <c r="C190" s="255"/>
      <c r="D190" s="257"/>
      <c r="E190" s="221">
        <v>922</v>
      </c>
      <c r="F190" s="261"/>
      <c r="G190" s="261"/>
      <c r="H190" s="261"/>
      <c r="I190" s="261"/>
      <c r="J190" s="261"/>
      <c r="K190" s="261"/>
      <c r="L190" s="261"/>
      <c r="M190" s="261"/>
      <c r="N190" s="261"/>
      <c r="O190" s="261"/>
      <c r="P190" s="261"/>
      <c r="Q190" s="261"/>
      <c r="R190" s="261"/>
      <c r="S190" s="261"/>
      <c r="T190" s="261"/>
      <c r="U190" s="261"/>
      <c r="V190" s="261"/>
      <c r="W190" s="261"/>
      <c r="X190" s="261"/>
      <c r="Y190" s="261"/>
      <c r="Z190" s="261"/>
      <c r="AA190" s="261"/>
      <c r="AB190" s="261"/>
      <c r="AC190" s="261"/>
      <c r="AD190" s="251"/>
    </row>
    <row r="191" spans="2:30" ht="15" customHeight="1" x14ac:dyDescent="0.3">
      <c r="B191" s="165" t="s">
        <v>181</v>
      </c>
      <c r="C191" s="255"/>
      <c r="D191" s="257"/>
      <c r="E191" s="221">
        <v>385</v>
      </c>
      <c r="F191" s="261"/>
      <c r="G191" s="261"/>
      <c r="H191" s="261"/>
      <c r="I191" s="261"/>
      <c r="J191" s="261"/>
      <c r="K191" s="261"/>
      <c r="L191" s="261"/>
      <c r="M191" s="261"/>
      <c r="N191" s="261"/>
      <c r="O191" s="261"/>
      <c r="P191" s="261"/>
      <c r="Q191" s="261"/>
      <c r="R191" s="261"/>
      <c r="S191" s="261"/>
      <c r="T191" s="261"/>
      <c r="U191" s="261"/>
      <c r="V191" s="261"/>
      <c r="W191" s="261"/>
      <c r="X191" s="261"/>
      <c r="Y191" s="261"/>
      <c r="Z191" s="261"/>
      <c r="AA191" s="261"/>
      <c r="AB191" s="261"/>
      <c r="AC191" s="261"/>
      <c r="AD191" s="251"/>
    </row>
    <row r="192" spans="2:30" ht="15" customHeight="1" x14ac:dyDescent="0.3">
      <c r="B192" s="165" t="s">
        <v>190</v>
      </c>
      <c r="C192" s="255"/>
      <c r="D192" s="257"/>
      <c r="E192" s="221">
        <v>34</v>
      </c>
      <c r="F192" s="261"/>
      <c r="G192" s="261"/>
      <c r="H192" s="261"/>
      <c r="I192" s="261"/>
      <c r="J192" s="261"/>
      <c r="K192" s="261"/>
      <c r="L192" s="261"/>
      <c r="M192" s="261"/>
      <c r="N192" s="261"/>
      <c r="O192" s="261"/>
      <c r="P192" s="261"/>
      <c r="Q192" s="261"/>
      <c r="R192" s="261"/>
      <c r="S192" s="261"/>
      <c r="T192" s="261"/>
      <c r="U192" s="261"/>
      <c r="V192" s="261"/>
      <c r="W192" s="261"/>
      <c r="X192" s="261"/>
      <c r="Y192" s="261"/>
      <c r="Z192" s="261"/>
      <c r="AA192" s="261"/>
      <c r="AB192" s="261"/>
      <c r="AC192" s="261"/>
      <c r="AD192" s="251"/>
    </row>
    <row r="193" spans="2:29" ht="15" customHeight="1" x14ac:dyDescent="0.3">
      <c r="B193" s="165" t="s">
        <v>240</v>
      </c>
      <c r="C193" s="255"/>
      <c r="D193" s="257"/>
      <c r="E193" s="221">
        <v>5</v>
      </c>
      <c r="F193" s="263"/>
      <c r="G193" s="263"/>
      <c r="H193" s="263"/>
      <c r="I193" s="263"/>
      <c r="J193" s="263"/>
      <c r="K193" s="263"/>
      <c r="L193" s="263"/>
      <c r="M193" s="263"/>
      <c r="N193" s="263"/>
      <c r="O193" s="263"/>
      <c r="P193" s="263"/>
      <c r="Q193" s="263"/>
      <c r="R193" s="263"/>
      <c r="S193" s="263"/>
      <c r="T193" s="263"/>
      <c r="U193" s="263"/>
      <c r="V193" s="263"/>
      <c r="W193" s="263"/>
      <c r="X193" s="263"/>
      <c r="Y193" s="263"/>
      <c r="Z193" s="263"/>
      <c r="AA193" s="263"/>
      <c r="AB193" s="263"/>
      <c r="AC193" s="263"/>
    </row>
    <row r="194" spans="2:29" ht="15" customHeight="1" x14ac:dyDescent="0.3">
      <c r="B194" s="165" t="s">
        <v>191</v>
      </c>
      <c r="C194" s="255"/>
      <c r="D194" s="257"/>
      <c r="E194" s="221">
        <v>2947</v>
      </c>
      <c r="F194" s="263"/>
      <c r="G194" s="263"/>
      <c r="H194" s="263"/>
      <c r="I194" s="263"/>
      <c r="J194" s="263"/>
      <c r="K194" s="263"/>
      <c r="L194" s="263"/>
      <c r="M194" s="263"/>
      <c r="N194" s="263"/>
      <c r="O194" s="263"/>
      <c r="P194" s="263"/>
      <c r="Q194" s="263"/>
      <c r="R194" s="263"/>
      <c r="S194" s="263"/>
      <c r="T194" s="263"/>
      <c r="U194" s="263"/>
      <c r="V194" s="263"/>
      <c r="W194" s="263"/>
      <c r="X194" s="263"/>
      <c r="Y194" s="263"/>
      <c r="Z194" s="263"/>
      <c r="AA194" s="263"/>
      <c r="AB194" s="263"/>
      <c r="AC194" s="263"/>
    </row>
    <row r="195" spans="2:29" ht="15" customHeight="1" x14ac:dyDescent="0.3">
      <c r="B195" s="165" t="s">
        <v>263</v>
      </c>
      <c r="C195" s="255"/>
      <c r="D195" s="257"/>
      <c r="E195" s="221">
        <v>900</v>
      </c>
      <c r="F195" s="263"/>
      <c r="G195" s="263"/>
      <c r="H195" s="263"/>
      <c r="I195" s="263"/>
      <c r="J195" s="263"/>
      <c r="K195" s="263"/>
      <c r="L195" s="263"/>
      <c r="M195" s="263"/>
      <c r="N195" s="263"/>
      <c r="O195" s="263"/>
      <c r="P195" s="263"/>
      <c r="Q195" s="263"/>
      <c r="R195" s="263"/>
      <c r="S195" s="263"/>
      <c r="T195" s="263"/>
      <c r="U195" s="263"/>
      <c r="V195" s="263"/>
      <c r="W195" s="263"/>
      <c r="X195" s="263"/>
      <c r="Y195" s="263"/>
      <c r="Z195" s="263"/>
      <c r="AA195" s="263"/>
      <c r="AB195" s="263"/>
      <c r="AC195" s="263"/>
    </row>
    <row r="196" spans="2:29" ht="15" customHeight="1" x14ac:dyDescent="0.3">
      <c r="B196" s="165" t="s">
        <v>264</v>
      </c>
      <c r="C196" s="255"/>
      <c r="D196" s="257"/>
      <c r="E196" s="221">
        <v>350</v>
      </c>
      <c r="F196" s="263"/>
      <c r="G196" s="263"/>
      <c r="H196" s="263"/>
      <c r="I196" s="263"/>
      <c r="J196" s="263"/>
      <c r="K196" s="263"/>
      <c r="L196" s="263"/>
      <c r="M196" s="263"/>
      <c r="N196" s="263"/>
      <c r="O196" s="263"/>
      <c r="P196" s="263"/>
      <c r="Q196" s="263"/>
      <c r="R196" s="263"/>
      <c r="S196" s="263"/>
      <c r="T196" s="263"/>
      <c r="U196" s="263"/>
      <c r="V196" s="263"/>
      <c r="W196" s="263"/>
      <c r="X196" s="263"/>
      <c r="Y196" s="263"/>
      <c r="Z196" s="263"/>
      <c r="AA196" s="263"/>
      <c r="AB196" s="263"/>
      <c r="AC196" s="263"/>
    </row>
    <row r="197" spans="2:29" ht="15" customHeight="1" x14ac:dyDescent="0.3">
      <c r="B197" s="165" t="s">
        <v>228</v>
      </c>
      <c r="C197" s="255"/>
      <c r="D197" s="257"/>
      <c r="E197" s="221">
        <v>550</v>
      </c>
      <c r="F197" s="263"/>
      <c r="G197" s="263"/>
      <c r="H197" s="263"/>
      <c r="I197" s="263"/>
      <c r="J197" s="263"/>
      <c r="K197" s="263"/>
      <c r="L197" s="263"/>
      <c r="M197" s="263"/>
      <c r="N197" s="263"/>
      <c r="O197" s="263"/>
      <c r="P197" s="263"/>
      <c r="Q197" s="263"/>
      <c r="R197" s="263"/>
      <c r="S197" s="263"/>
      <c r="T197" s="263"/>
      <c r="U197" s="263"/>
      <c r="V197" s="263"/>
      <c r="W197" s="263"/>
      <c r="X197" s="263"/>
      <c r="Y197" s="263"/>
      <c r="Z197" s="263"/>
      <c r="AA197" s="263"/>
      <c r="AB197" s="263"/>
      <c r="AC197" s="263"/>
    </row>
    <row r="198" spans="2:29" ht="15" customHeight="1" x14ac:dyDescent="0.3">
      <c r="B198" s="165" t="s">
        <v>193</v>
      </c>
      <c r="C198" s="255"/>
      <c r="D198" s="257"/>
      <c r="E198" s="221">
        <v>8000</v>
      </c>
      <c r="F198" s="263"/>
      <c r="G198" s="263"/>
      <c r="H198" s="263"/>
      <c r="I198" s="263"/>
      <c r="J198" s="263"/>
      <c r="K198" s="263"/>
      <c r="L198" s="263"/>
      <c r="M198" s="263"/>
      <c r="N198" s="263"/>
      <c r="O198" s="263"/>
      <c r="P198" s="263"/>
      <c r="Q198" s="263"/>
      <c r="R198" s="263"/>
      <c r="S198" s="263"/>
      <c r="T198" s="263"/>
      <c r="U198" s="263"/>
      <c r="V198" s="263"/>
      <c r="W198" s="263"/>
      <c r="X198" s="263"/>
      <c r="Y198" s="263"/>
      <c r="Z198" s="263"/>
      <c r="AA198" s="263"/>
      <c r="AB198" s="263"/>
      <c r="AC198" s="263"/>
    </row>
    <row r="199" spans="2:29" ht="15" customHeight="1" x14ac:dyDescent="0.3">
      <c r="B199" s="165" t="s">
        <v>184</v>
      </c>
      <c r="C199" s="255"/>
      <c r="D199" s="257"/>
      <c r="E199" s="221">
        <v>-6039</v>
      </c>
      <c r="F199" s="263"/>
      <c r="G199" s="263"/>
      <c r="H199" s="263"/>
      <c r="I199" s="263"/>
      <c r="J199" s="263"/>
      <c r="K199" s="263"/>
      <c r="L199" s="263"/>
      <c r="M199" s="263"/>
      <c r="N199" s="263"/>
      <c r="O199" s="263"/>
      <c r="P199" s="263"/>
      <c r="Q199" s="263"/>
      <c r="R199" s="263"/>
      <c r="S199" s="263"/>
      <c r="T199" s="263"/>
      <c r="U199" s="263"/>
      <c r="V199" s="263"/>
      <c r="W199" s="263"/>
      <c r="X199" s="263"/>
      <c r="Y199" s="263"/>
      <c r="Z199" s="263"/>
      <c r="AA199" s="263"/>
      <c r="AB199" s="263"/>
      <c r="AC199" s="263"/>
    </row>
    <row r="200" spans="2:29" ht="15" customHeight="1" x14ac:dyDescent="0.3">
      <c r="B200" s="165" t="s">
        <v>399</v>
      </c>
      <c r="C200" s="255"/>
      <c r="D200" s="257"/>
      <c r="E200" s="221">
        <v>0</v>
      </c>
    </row>
    <row r="202" spans="2:29" ht="15" customHeight="1" x14ac:dyDescent="0.3">
      <c r="B202" s="252" t="s">
        <v>161</v>
      </c>
      <c r="C202" s="253"/>
      <c r="D202" s="253"/>
      <c r="E202" s="253"/>
    </row>
    <row r="203" spans="2:29" ht="15" customHeight="1" x14ac:dyDescent="0.3">
      <c r="B203" s="165" t="s">
        <v>442</v>
      </c>
      <c r="C203" s="259" t="s">
        <v>27</v>
      </c>
      <c r="D203" s="257"/>
      <c r="E203" s="479">
        <v>46053</v>
      </c>
      <c r="F203" s="244"/>
    </row>
    <row r="204" spans="2:29" ht="15" customHeight="1" x14ac:dyDescent="0.3">
      <c r="B204" s="165" t="s">
        <v>440</v>
      </c>
      <c r="C204" s="259" t="s">
        <v>27</v>
      </c>
      <c r="D204" s="257"/>
      <c r="E204" s="479">
        <v>46387</v>
      </c>
    </row>
    <row r="205" spans="2:29" ht="15" customHeight="1" x14ac:dyDescent="0.3">
      <c r="B205" s="165" t="s">
        <v>445</v>
      </c>
      <c r="C205" s="259" t="s">
        <v>27</v>
      </c>
      <c r="D205" s="257"/>
      <c r="E205" s="479">
        <v>46203</v>
      </c>
    </row>
    <row r="206" spans="2:29" ht="15" customHeight="1" x14ac:dyDescent="0.3">
      <c r="B206" s="165" t="s">
        <v>446</v>
      </c>
      <c r="C206" s="259" t="s">
        <v>27</v>
      </c>
      <c r="D206" s="257"/>
      <c r="E206" s="479">
        <v>46112</v>
      </c>
    </row>
    <row r="207" spans="2:29" ht="15" customHeight="1" x14ac:dyDescent="0.3">
      <c r="B207" s="165" t="s">
        <v>57</v>
      </c>
      <c r="E207" s="221">
        <v>12</v>
      </c>
    </row>
    <row r="208" spans="2:29" ht="15" customHeight="1" x14ac:dyDescent="0.3">
      <c r="B208" s="165" t="s">
        <v>243</v>
      </c>
      <c r="E208" s="221">
        <v>30</v>
      </c>
    </row>
    <row r="209" spans="2:5" ht="15" customHeight="1" x14ac:dyDescent="0.3">
      <c r="B209" s="165" t="s">
        <v>203</v>
      </c>
      <c r="E209" s="260">
        <v>0.25800000000000001</v>
      </c>
    </row>
    <row r="210" spans="2:5" ht="15" customHeight="1" x14ac:dyDescent="0.3">
      <c r="B210" s="165" t="s">
        <v>276</v>
      </c>
      <c r="E210" s="260">
        <v>2.5000000000000001E-2</v>
      </c>
    </row>
    <row r="211" spans="2:5" ht="15" customHeight="1" x14ac:dyDescent="0.3">
      <c r="B211" s="165" t="s">
        <v>277</v>
      </c>
      <c r="E211" s="272">
        <v>0</v>
      </c>
    </row>
    <row r="212" spans="2:5" ht="15" customHeight="1" x14ac:dyDescent="0.3">
      <c r="B212" s="165" t="s">
        <v>483</v>
      </c>
      <c r="E212" s="546">
        <v>9</v>
      </c>
    </row>
  </sheetData>
  <mergeCells count="6">
    <mergeCell ref="V140:W140"/>
    <mergeCell ref="V135:W135"/>
    <mergeCell ref="V136:W136"/>
    <mergeCell ref="V137:W137"/>
    <mergeCell ref="V138:W138"/>
    <mergeCell ref="V139:W139"/>
  </mergeCells>
  <pageMargins left="0.7" right="0.7" top="0.75" bottom="0.75" header="0.3" footer="0.3"/>
  <pageSetup paperSize="9" orientation="portrait" horizontalDpi="300" verticalDpi="3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Drop Down 1">
              <controlPr defaultSize="0" autoLine="0" autoPict="0">
                <anchor moveWithCells="1">
                  <from>
                    <xdr:col>1</xdr:col>
                    <xdr:colOff>1285875</xdr:colOff>
                    <xdr:row>7</xdr:row>
                    <xdr:rowOff>0</xdr:rowOff>
                  </from>
                  <to>
                    <xdr:col>3</xdr:col>
                    <xdr:colOff>628650</xdr:colOff>
                    <xdr:row>8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84B4C-8E72-4BD1-A808-6B4DB2C07946}">
  <sheetPr>
    <pageSetUpPr autoPageBreaks="0"/>
  </sheetPr>
  <dimension ref="A1:AD588"/>
  <sheetViews>
    <sheetView showGridLines="0" zoomScale="90" zoomScaleNormal="90" workbookViewId="0">
      <selection activeCell="B538" sqref="B538"/>
    </sheetView>
  </sheetViews>
  <sheetFormatPr defaultRowHeight="15" outlineLevelRow="1" x14ac:dyDescent="0.3"/>
  <cols>
    <col min="1" max="1" width="4.28515625" style="149" customWidth="1"/>
    <col min="2" max="6" width="9.140625" style="149"/>
    <col min="7" max="27" width="9.42578125" style="196" bestFit="1" customWidth="1"/>
    <col min="28" max="30" width="9.42578125" style="196" customWidth="1"/>
    <col min="31" max="16384" width="9.140625" style="149"/>
  </cols>
  <sheetData>
    <row r="1" spans="1:30" ht="57.75" customHeight="1" x14ac:dyDescent="0.3">
      <c r="B1" s="150" t="s">
        <v>369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</row>
    <row r="2" spans="1:30" ht="15" customHeight="1" x14ac:dyDescent="0.3"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49"/>
      <c r="W2" s="149"/>
      <c r="X2" s="149"/>
      <c r="Y2" s="149"/>
      <c r="Z2" s="149"/>
      <c r="AA2" s="149"/>
      <c r="AB2" s="149"/>
      <c r="AC2" s="149"/>
      <c r="AD2" s="149"/>
    </row>
    <row r="3" spans="1:30" ht="15" customHeight="1" x14ac:dyDescent="0.3">
      <c r="A3" s="149" t="s">
        <v>33</v>
      </c>
      <c r="B3" s="152" t="s">
        <v>156</v>
      </c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  <c r="P3" s="153"/>
      <c r="Q3" s="153"/>
      <c r="R3" s="153"/>
      <c r="S3" s="153"/>
      <c r="T3" s="153"/>
      <c r="U3" s="153"/>
      <c r="V3" s="153"/>
      <c r="W3" s="153"/>
      <c r="X3" s="153"/>
      <c r="Y3" s="153"/>
      <c r="Z3" s="153"/>
      <c r="AA3" s="153"/>
      <c r="AB3" s="153"/>
      <c r="AC3" s="153"/>
      <c r="AD3" s="153"/>
    </row>
    <row r="4" spans="1:30" ht="15" hidden="1" customHeight="1" outlineLevel="1" x14ac:dyDescent="0.3">
      <c r="G4" s="149"/>
      <c r="H4" s="149"/>
      <c r="I4" s="149"/>
      <c r="J4" s="149"/>
      <c r="K4" s="149"/>
      <c r="L4" s="149"/>
      <c r="M4" s="149"/>
      <c r="N4" s="149"/>
      <c r="O4" s="149"/>
      <c r="P4" s="149"/>
      <c r="Q4" s="149"/>
      <c r="R4" s="149"/>
      <c r="S4" s="149"/>
      <c r="T4" s="149"/>
      <c r="U4" s="149"/>
      <c r="V4" s="149"/>
      <c r="W4" s="149"/>
      <c r="X4" s="149"/>
      <c r="Y4" s="149"/>
      <c r="Z4" s="149"/>
      <c r="AA4" s="149"/>
      <c r="AB4" s="149"/>
      <c r="AC4" s="149"/>
      <c r="AD4" s="149"/>
    </row>
    <row r="5" spans="1:30" ht="15" hidden="1" customHeight="1" outlineLevel="1" x14ac:dyDescent="0.3">
      <c r="B5" s="155" t="s">
        <v>24</v>
      </c>
      <c r="G5" s="156">
        <f>Inputs!F$7</f>
        <v>2026</v>
      </c>
      <c r="H5" s="157">
        <f>Inputs!G$7</f>
        <v>2026</v>
      </c>
      <c r="I5" s="158">
        <f>Inputs!H$7</f>
        <v>2026</v>
      </c>
      <c r="J5" s="157">
        <f>Inputs!I$7</f>
        <v>2026</v>
      </c>
      <c r="K5" s="157">
        <f>Inputs!J$7</f>
        <v>2026</v>
      </c>
      <c r="L5" s="158">
        <f>Inputs!K$7</f>
        <v>2026</v>
      </c>
      <c r="M5" s="157">
        <f>Inputs!L$7</f>
        <v>2026</v>
      </c>
      <c r="N5" s="157">
        <f>Inputs!M$7</f>
        <v>2026</v>
      </c>
      <c r="O5" s="158">
        <f>Inputs!N$7</f>
        <v>2026</v>
      </c>
      <c r="P5" s="157">
        <f>Inputs!O$7</f>
        <v>2026</v>
      </c>
      <c r="Q5" s="157">
        <f>Inputs!P$7</f>
        <v>2026</v>
      </c>
      <c r="R5" s="159">
        <f>Inputs!Q$7</f>
        <v>2026</v>
      </c>
      <c r="S5" s="157">
        <f>Inputs!R$7</f>
        <v>2027</v>
      </c>
      <c r="T5" s="157">
        <f>Inputs!S$7</f>
        <v>2027</v>
      </c>
      <c r="U5" s="158">
        <f>Inputs!T$7</f>
        <v>2027</v>
      </c>
      <c r="V5" s="157">
        <f>Inputs!U$7</f>
        <v>2027</v>
      </c>
      <c r="W5" s="157">
        <f>Inputs!V$7</f>
        <v>2027</v>
      </c>
      <c r="X5" s="158">
        <f>Inputs!W$7</f>
        <v>2027</v>
      </c>
      <c r="Y5" s="157">
        <f>Inputs!X$7</f>
        <v>2027</v>
      </c>
      <c r="Z5" s="157">
        <f>Inputs!Y$7</f>
        <v>2027</v>
      </c>
      <c r="AA5" s="158">
        <f>Inputs!Z$7</f>
        <v>2027</v>
      </c>
      <c r="AB5" s="157">
        <f>Inputs!AA$7</f>
        <v>2027</v>
      </c>
      <c r="AC5" s="157">
        <f>Inputs!AB$7</f>
        <v>2027</v>
      </c>
      <c r="AD5" s="159">
        <f>Inputs!AC$7</f>
        <v>2027</v>
      </c>
    </row>
    <row r="6" spans="1:30" ht="15" hidden="1" customHeight="1" outlineLevel="1" x14ac:dyDescent="0.3">
      <c r="B6" s="155" t="str" cm="1">
        <f t="array" ref="B6">CONCATENATE("Model Running: ",INDEX(Inputs!$B$15:$B$17,Inputs!$D$8)," Drivers")</f>
        <v>Model Running: Base Case Drivers</v>
      </c>
      <c r="G6" s="161">
        <f>Inputs!F$8</f>
        <v>1</v>
      </c>
      <c r="H6" s="162">
        <f>Inputs!G$8</f>
        <v>1</v>
      </c>
      <c r="I6" s="163">
        <f>Inputs!H$8</f>
        <v>1</v>
      </c>
      <c r="J6" s="162">
        <f>Inputs!I$8</f>
        <v>2</v>
      </c>
      <c r="K6" s="162">
        <f>Inputs!J$8</f>
        <v>2</v>
      </c>
      <c r="L6" s="163">
        <f>Inputs!K$8</f>
        <v>2</v>
      </c>
      <c r="M6" s="162">
        <f>Inputs!L$8</f>
        <v>3</v>
      </c>
      <c r="N6" s="162">
        <f>Inputs!M$8</f>
        <v>3</v>
      </c>
      <c r="O6" s="163">
        <f>Inputs!N$8</f>
        <v>3</v>
      </c>
      <c r="P6" s="162">
        <f>Inputs!O$8</f>
        <v>4</v>
      </c>
      <c r="Q6" s="162">
        <f>Inputs!P$8</f>
        <v>4</v>
      </c>
      <c r="R6" s="164">
        <f>Inputs!Q$8</f>
        <v>4</v>
      </c>
      <c r="S6" s="162">
        <f>Inputs!R$8</f>
        <v>1</v>
      </c>
      <c r="T6" s="162">
        <f>Inputs!S$8</f>
        <v>1</v>
      </c>
      <c r="U6" s="163">
        <f>Inputs!T$8</f>
        <v>1</v>
      </c>
      <c r="V6" s="162">
        <f>Inputs!U$8</f>
        <v>2</v>
      </c>
      <c r="W6" s="162">
        <f>Inputs!V$8</f>
        <v>2</v>
      </c>
      <c r="X6" s="163">
        <f>Inputs!W$8</f>
        <v>2</v>
      </c>
      <c r="Y6" s="162">
        <f>Inputs!X$8</f>
        <v>3</v>
      </c>
      <c r="Z6" s="162">
        <f>Inputs!Y$8</f>
        <v>3</v>
      </c>
      <c r="AA6" s="163">
        <f>Inputs!Z$8</f>
        <v>3</v>
      </c>
      <c r="AB6" s="162">
        <f>Inputs!AA$8</f>
        <v>4</v>
      </c>
      <c r="AC6" s="162">
        <f>Inputs!AB$8</f>
        <v>4</v>
      </c>
      <c r="AD6" s="164">
        <f>Inputs!AC$8</f>
        <v>4</v>
      </c>
    </row>
    <row r="7" spans="1:30" ht="15" hidden="1" customHeight="1" outlineLevel="1" x14ac:dyDescent="0.3">
      <c r="G7" s="166">
        <f>Inputs!F$9</f>
        <v>46053</v>
      </c>
      <c r="H7" s="167">
        <f>Inputs!G$9</f>
        <v>46081</v>
      </c>
      <c r="I7" s="168">
        <f>Inputs!H$9</f>
        <v>46112</v>
      </c>
      <c r="J7" s="167">
        <f>Inputs!I$9</f>
        <v>46142</v>
      </c>
      <c r="K7" s="167">
        <f>Inputs!J$9</f>
        <v>46173</v>
      </c>
      <c r="L7" s="168">
        <f>Inputs!K$9</f>
        <v>46203</v>
      </c>
      <c r="M7" s="167">
        <f>Inputs!L$9</f>
        <v>46234</v>
      </c>
      <c r="N7" s="167">
        <f>Inputs!M$9</f>
        <v>46265</v>
      </c>
      <c r="O7" s="168">
        <f>Inputs!N$9</f>
        <v>46295</v>
      </c>
      <c r="P7" s="167">
        <f>Inputs!O$9</f>
        <v>46326</v>
      </c>
      <c r="Q7" s="167">
        <f>Inputs!P$9</f>
        <v>46356</v>
      </c>
      <c r="R7" s="169">
        <f>Inputs!Q$9</f>
        <v>46387</v>
      </c>
      <c r="S7" s="167">
        <f>Inputs!R$9</f>
        <v>46418</v>
      </c>
      <c r="T7" s="167">
        <f>Inputs!S$9</f>
        <v>46446</v>
      </c>
      <c r="U7" s="168">
        <f>Inputs!T$9</f>
        <v>46477</v>
      </c>
      <c r="V7" s="167">
        <f>Inputs!U$9</f>
        <v>46507</v>
      </c>
      <c r="W7" s="167">
        <f>Inputs!V$9</f>
        <v>46538</v>
      </c>
      <c r="X7" s="168">
        <f>Inputs!W$9</f>
        <v>46568</v>
      </c>
      <c r="Y7" s="167">
        <f>Inputs!X$9</f>
        <v>46599</v>
      </c>
      <c r="Z7" s="167">
        <f>Inputs!Y$9</f>
        <v>46630</v>
      </c>
      <c r="AA7" s="168">
        <f>Inputs!Z$9</f>
        <v>46660</v>
      </c>
      <c r="AB7" s="167">
        <f>Inputs!AA$9</f>
        <v>46691</v>
      </c>
      <c r="AC7" s="167">
        <f>Inputs!AB$9</f>
        <v>46721</v>
      </c>
      <c r="AD7" s="169">
        <f>Inputs!AC$9</f>
        <v>46752</v>
      </c>
    </row>
    <row r="8" spans="1:30" ht="15" hidden="1" customHeight="1" outlineLevel="1" x14ac:dyDescent="0.3">
      <c r="G8" s="278"/>
      <c r="H8" s="278"/>
      <c r="I8" s="278"/>
      <c r="J8" s="278"/>
      <c r="K8" s="278"/>
      <c r="L8" s="278"/>
      <c r="M8" s="278"/>
      <c r="N8" s="278"/>
      <c r="O8" s="278"/>
      <c r="P8" s="278"/>
      <c r="Q8" s="278"/>
      <c r="R8" s="278"/>
      <c r="S8" s="278"/>
      <c r="T8" s="278"/>
      <c r="U8" s="278"/>
      <c r="V8" s="278"/>
      <c r="W8" s="278"/>
      <c r="X8" s="278"/>
      <c r="Y8" s="278"/>
      <c r="Z8" s="278"/>
      <c r="AA8" s="278"/>
      <c r="AB8" s="278"/>
      <c r="AC8" s="278"/>
      <c r="AD8" s="278"/>
    </row>
    <row r="9" spans="1:30" ht="15" hidden="1" customHeight="1" outlineLevel="1" x14ac:dyDescent="0.3">
      <c r="G9" s="279"/>
      <c r="H9" s="279"/>
      <c r="I9" s="279"/>
      <c r="J9" s="279"/>
      <c r="K9" s="279"/>
      <c r="L9" s="279"/>
      <c r="M9" s="279"/>
      <c r="N9" s="279"/>
      <c r="O9" s="279"/>
      <c r="P9" s="279"/>
      <c r="Q9" s="279"/>
      <c r="R9" s="279"/>
      <c r="S9" s="279"/>
      <c r="T9" s="279"/>
      <c r="U9" s="279"/>
      <c r="V9" s="279"/>
      <c r="W9" s="279"/>
      <c r="X9" s="279"/>
      <c r="Y9" s="279"/>
      <c r="Z9" s="279"/>
      <c r="AA9" s="279"/>
      <c r="AB9" s="279"/>
      <c r="AC9" s="279"/>
      <c r="AD9" s="279"/>
    </row>
    <row r="10" spans="1:30" ht="15" hidden="1" customHeight="1" outlineLevel="1" x14ac:dyDescent="0.3">
      <c r="B10" s="165" t="s">
        <v>159</v>
      </c>
      <c r="G10" s="280">
        <f>G155</f>
        <v>913.22280000000001</v>
      </c>
      <c r="H10" s="280">
        <f t="shared" ref="H10:AD10" si="0">H155</f>
        <v>933.64625105135997</v>
      </c>
      <c r="I10" s="280">
        <f t="shared" si="0"/>
        <v>953.82026075561885</v>
      </c>
      <c r="J10" s="280">
        <f t="shared" si="0"/>
        <v>973.79365938813044</v>
      </c>
      <c r="K10" s="280">
        <f t="shared" si="0"/>
        <v>993.61427473508866</v>
      </c>
      <c r="L10" s="280">
        <f t="shared" si="0"/>
        <v>1013.3290050308915</v>
      </c>
      <c r="M10" s="280">
        <f t="shared" si="0"/>
        <v>1032.9838901010589</v>
      </c>
      <c r="N10" s="280">
        <f t="shared" si="0"/>
        <v>1052.6241808129246</v>
      </c>
      <c r="O10" s="280">
        <f t="shared" si="0"/>
        <v>1072.294406933474</v>
      </c>
      <c r="P10" s="280">
        <f t="shared" si="0"/>
        <v>1092.0384434909899</v>
      </c>
      <c r="Q10" s="280">
        <f t="shared" si="0"/>
        <v>1111.8995757346056</v>
      </c>
      <c r="R10" s="280">
        <f t="shared" si="0"/>
        <v>1131.920562783426</v>
      </c>
      <c r="S10" s="280">
        <f t="shared" si="0"/>
        <v>1157.5983540197676</v>
      </c>
      <c r="T10" s="280">
        <f t="shared" si="0"/>
        <v>1183.4761071675407</v>
      </c>
      <c r="U10" s="280">
        <f t="shared" si="0"/>
        <v>1209.5912542337499</v>
      </c>
      <c r="V10" s="280">
        <f t="shared" si="0"/>
        <v>1235.980861061965</v>
      </c>
      <c r="W10" s="280">
        <f t="shared" si="0"/>
        <v>1262.681675088038</v>
      </c>
      <c r="X10" s="280">
        <f t="shared" si="0"/>
        <v>1289.7301721268409</v>
      </c>
      <c r="Y10" s="280">
        <f t="shared" si="0"/>
        <v>1317.1626022537782</v>
      </c>
      <c r="Z10" s="280">
        <f t="shared" si="0"/>
        <v>1345.0150348430493</v>
      </c>
      <c r="AA10" s="280">
        <f t="shared" si="0"/>
        <v>1373.3234028229492</v>
      </c>
      <c r="AB10" s="280">
        <f t="shared" si="0"/>
        <v>1402.1235462068914</v>
      </c>
      <c r="AC10" s="280">
        <f t="shared" si="0"/>
        <v>1431.4512549573267</v>
      </c>
      <c r="AD10" s="280">
        <f t="shared" si="0"/>
        <v>1461.3423112382877</v>
      </c>
    </row>
    <row r="11" spans="1:30" ht="15" hidden="1" customHeight="1" outlineLevel="1" x14ac:dyDescent="0.3">
      <c r="B11" s="165" t="s">
        <v>187</v>
      </c>
      <c r="G11" s="280"/>
      <c r="H11" s="279"/>
      <c r="I11" s="279"/>
      <c r="J11" s="279"/>
      <c r="K11" s="279"/>
      <c r="L11" s="279"/>
      <c r="M11" s="279"/>
      <c r="N11" s="279"/>
      <c r="O11" s="279"/>
      <c r="P11" s="279"/>
      <c r="Q11" s="279"/>
      <c r="R11" s="279"/>
      <c r="S11" s="279"/>
      <c r="T11" s="279"/>
      <c r="U11" s="279"/>
      <c r="V11" s="279"/>
      <c r="W11" s="279"/>
      <c r="X11" s="279"/>
      <c r="Y11" s="279"/>
      <c r="Z11" s="279"/>
      <c r="AA11" s="279"/>
      <c r="AB11" s="279"/>
      <c r="AC11" s="279"/>
      <c r="AD11" s="279"/>
    </row>
    <row r="12" spans="1:30" ht="15" hidden="1" customHeight="1" outlineLevel="1" x14ac:dyDescent="0.3">
      <c r="B12" s="191" t="s">
        <v>204</v>
      </c>
      <c r="G12" s="280">
        <f>-G279</f>
        <v>-89.924166666666665</v>
      </c>
      <c r="H12" s="280">
        <f t="shared" ref="H12:AD12" si="1">-H279</f>
        <v>-92.872500000000002</v>
      </c>
      <c r="I12" s="280">
        <f t="shared" si="1"/>
        <v>-95.820833333333326</v>
      </c>
      <c r="J12" s="280">
        <f t="shared" si="1"/>
        <v>-98.769166666666663</v>
      </c>
      <c r="K12" s="280">
        <f t="shared" si="1"/>
        <v>-101.7175</v>
      </c>
      <c r="L12" s="280">
        <f t="shared" si="1"/>
        <v>-104.66583333333332</v>
      </c>
      <c r="M12" s="280">
        <f t="shared" si="1"/>
        <v>-107.61416666666666</v>
      </c>
      <c r="N12" s="280">
        <f t="shared" si="1"/>
        <v>-110.5625</v>
      </c>
      <c r="O12" s="280">
        <f t="shared" si="1"/>
        <v>-113.51083333333332</v>
      </c>
      <c r="P12" s="280">
        <f t="shared" si="1"/>
        <v>-116.45916666666666</v>
      </c>
      <c r="Q12" s="280">
        <f t="shared" si="1"/>
        <v>-119.4075</v>
      </c>
      <c r="R12" s="280">
        <f t="shared" si="1"/>
        <v>-122.35583333333332</v>
      </c>
      <c r="S12" s="280">
        <f t="shared" si="1"/>
        <v>-124.56708333333331</v>
      </c>
      <c r="T12" s="280">
        <f t="shared" si="1"/>
        <v>-126.18866666666665</v>
      </c>
      <c r="U12" s="280">
        <f t="shared" si="1"/>
        <v>-127.95766666666667</v>
      </c>
      <c r="V12" s="280">
        <f t="shared" si="1"/>
        <v>-129.72666666666666</v>
      </c>
      <c r="W12" s="280">
        <f t="shared" si="1"/>
        <v>-131.49566666666666</v>
      </c>
      <c r="X12" s="280">
        <f t="shared" si="1"/>
        <v>-133.26466666666667</v>
      </c>
      <c r="Y12" s="280">
        <f t="shared" si="1"/>
        <v>-135.03366666666668</v>
      </c>
      <c r="Z12" s="280">
        <f t="shared" si="1"/>
        <v>-136.80266666666668</v>
      </c>
      <c r="AA12" s="280">
        <f t="shared" si="1"/>
        <v>-138.57166666666669</v>
      </c>
      <c r="AB12" s="280">
        <f t="shared" si="1"/>
        <v>-140.34066666666669</v>
      </c>
      <c r="AC12" s="280">
        <f t="shared" si="1"/>
        <v>-142.1096666666667</v>
      </c>
      <c r="AD12" s="280">
        <f t="shared" si="1"/>
        <v>-143.87866666666667</v>
      </c>
    </row>
    <row r="13" spans="1:30" ht="15" hidden="1" customHeight="1" outlineLevel="1" x14ac:dyDescent="0.3">
      <c r="B13" s="191" t="s">
        <v>205</v>
      </c>
      <c r="G13" s="280">
        <f>-G280</f>
        <v>-45.661139999999996</v>
      </c>
      <c r="H13" s="280">
        <f t="shared" ref="H13:AD13" si="2">-H280</f>
        <v>-46.682312552568</v>
      </c>
      <c r="I13" s="280">
        <f t="shared" si="2"/>
        <v>-47.691013037780948</v>
      </c>
      <c r="J13" s="280">
        <f t="shared" si="2"/>
        <v>-48.689682969406526</v>
      </c>
      <c r="K13" s="280">
        <f t="shared" si="2"/>
        <v>-49.680713736754434</v>
      </c>
      <c r="L13" s="280">
        <f t="shared" si="2"/>
        <v>-50.666450251544575</v>
      </c>
      <c r="M13" s="280">
        <f t="shared" si="2"/>
        <v>-51.649194505052947</v>
      </c>
      <c r="N13" s="280">
        <f t="shared" si="2"/>
        <v>-52.631209040646233</v>
      </c>
      <c r="O13" s="280">
        <f t="shared" si="2"/>
        <v>-53.6147203466737</v>
      </c>
      <c r="P13" s="280">
        <f t="shared" si="2"/>
        <v>-54.601922174549493</v>
      </c>
      <c r="Q13" s="280">
        <f t="shared" si="2"/>
        <v>-55.59497878673028</v>
      </c>
      <c r="R13" s="280">
        <f t="shared" si="2"/>
        <v>-56.596028139171317</v>
      </c>
      <c r="S13" s="280">
        <f t="shared" si="2"/>
        <v>-57.879917700988393</v>
      </c>
      <c r="T13" s="280">
        <f t="shared" si="2"/>
        <v>-59.173805358377052</v>
      </c>
      <c r="U13" s="280">
        <f t="shared" si="2"/>
        <v>-60.479562711687514</v>
      </c>
      <c r="V13" s="280">
        <f t="shared" si="2"/>
        <v>-61.799043053098281</v>
      </c>
      <c r="W13" s="280">
        <f t="shared" si="2"/>
        <v>-63.134083754401935</v>
      </c>
      <c r="X13" s="280">
        <f t="shared" si="2"/>
        <v>-64.48650860634207</v>
      </c>
      <c r="Y13" s="280">
        <f t="shared" si="2"/>
        <v>-65.85813011268894</v>
      </c>
      <c r="Z13" s="280">
        <f t="shared" si="2"/>
        <v>-67.250751742152502</v>
      </c>
      <c r="AA13" s="280">
        <f t="shared" si="2"/>
        <v>-68.666170141147475</v>
      </c>
      <c r="AB13" s="280">
        <f t="shared" si="2"/>
        <v>-70.106177310344606</v>
      </c>
      <c r="AC13" s="280">
        <f t="shared" si="2"/>
        <v>-71.572562747866371</v>
      </c>
      <c r="AD13" s="280">
        <f t="shared" si="2"/>
        <v>-73.06711556191442</v>
      </c>
    </row>
    <row r="14" spans="1:30" ht="15" hidden="1" customHeight="1" outlineLevel="1" x14ac:dyDescent="0.3">
      <c r="B14" s="173" t="s">
        <v>160</v>
      </c>
      <c r="G14" s="281">
        <f>SUM(G10:G13)</f>
        <v>777.63749333333328</v>
      </c>
      <c r="H14" s="281">
        <f t="shared" ref="H14:AD14" si="3">SUM(H10:H13)</f>
        <v>794.09143849879206</v>
      </c>
      <c r="I14" s="281">
        <f t="shared" si="3"/>
        <v>810.30841438450454</v>
      </c>
      <c r="J14" s="281">
        <f t="shared" si="3"/>
        <v>826.33480975205725</v>
      </c>
      <c r="K14" s="281">
        <f t="shared" si="3"/>
        <v>842.21606099833423</v>
      </c>
      <c r="L14" s="281">
        <f t="shared" si="3"/>
        <v>857.99672144601357</v>
      </c>
      <c r="M14" s="281">
        <f t="shared" si="3"/>
        <v>873.72052892933937</v>
      </c>
      <c r="N14" s="281">
        <f t="shared" si="3"/>
        <v>889.43047177227834</v>
      </c>
      <c r="O14" s="281">
        <f t="shared" si="3"/>
        <v>905.16885325346698</v>
      </c>
      <c r="P14" s="281">
        <f t="shared" si="3"/>
        <v>920.97735464977382</v>
      </c>
      <c r="Q14" s="281">
        <f t="shared" si="3"/>
        <v>936.8970969478753</v>
      </c>
      <c r="R14" s="281">
        <f t="shared" si="3"/>
        <v>952.96870131092146</v>
      </c>
      <c r="S14" s="281">
        <f t="shared" si="3"/>
        <v>975.1513529854459</v>
      </c>
      <c r="T14" s="281">
        <f t="shared" si="3"/>
        <v>998.11363514249695</v>
      </c>
      <c r="U14" s="281">
        <f t="shared" si="3"/>
        <v>1021.1540248553956</v>
      </c>
      <c r="V14" s="281">
        <f t="shared" si="3"/>
        <v>1044.4551513422</v>
      </c>
      <c r="W14" s="281">
        <f t="shared" si="3"/>
        <v>1068.0519246669694</v>
      </c>
      <c r="X14" s="281">
        <f t="shared" si="3"/>
        <v>1091.9789968538321</v>
      </c>
      <c r="Y14" s="281">
        <f t="shared" si="3"/>
        <v>1116.2708054744226</v>
      </c>
      <c r="Z14" s="281">
        <f t="shared" si="3"/>
        <v>1140.9616164342301</v>
      </c>
      <c r="AA14" s="281">
        <f t="shared" si="3"/>
        <v>1166.0855660151351</v>
      </c>
      <c r="AB14" s="281">
        <f t="shared" si="3"/>
        <v>1191.67670222988</v>
      </c>
      <c r="AC14" s="281">
        <f t="shared" si="3"/>
        <v>1217.7690255427935</v>
      </c>
      <c r="AD14" s="281">
        <f t="shared" si="3"/>
        <v>1244.3965290097067</v>
      </c>
    </row>
    <row r="15" spans="1:30" ht="15" hidden="1" customHeight="1" outlineLevel="1" x14ac:dyDescent="0.3">
      <c r="B15" s="173"/>
      <c r="G15" s="279"/>
      <c r="H15" s="279"/>
      <c r="I15" s="279"/>
      <c r="J15" s="279"/>
      <c r="K15" s="279"/>
      <c r="L15" s="279"/>
      <c r="M15" s="279"/>
      <c r="N15" s="279"/>
      <c r="O15" s="279"/>
      <c r="P15" s="279"/>
      <c r="Q15" s="279"/>
      <c r="R15" s="279"/>
      <c r="S15" s="279"/>
      <c r="T15" s="279"/>
      <c r="U15" s="279"/>
      <c r="V15" s="279"/>
      <c r="W15" s="279"/>
      <c r="X15" s="279"/>
      <c r="Y15" s="279"/>
      <c r="Z15" s="279"/>
      <c r="AA15" s="279"/>
      <c r="AB15" s="279"/>
      <c r="AC15" s="279"/>
      <c r="AD15" s="279"/>
    </row>
    <row r="16" spans="1:30" ht="15" hidden="1" customHeight="1" outlineLevel="1" x14ac:dyDescent="0.3">
      <c r="B16" s="282" t="s">
        <v>188</v>
      </c>
      <c r="G16" s="283">
        <f>MAX(G14/G10,0)</f>
        <v>0.85153096630234515</v>
      </c>
      <c r="H16" s="283">
        <f t="shared" ref="H16:AD16" si="4">MAX(H14/H10,0)</f>
        <v>0.85052710017801914</v>
      </c>
      <c r="I16" s="283">
        <f t="shared" si="4"/>
        <v>0.84953994764440854</v>
      </c>
      <c r="J16" s="283">
        <f t="shared" si="4"/>
        <v>0.84857279751777515</v>
      </c>
      <c r="K16" s="283">
        <f t="shared" si="4"/>
        <v>0.84762878554948373</v>
      </c>
      <c r="L16" s="283">
        <f t="shared" si="4"/>
        <v>0.84671090750023226</v>
      </c>
      <c r="M16" s="283">
        <f t="shared" si="4"/>
        <v>0.84582202810913298</v>
      </c>
      <c r="N16" s="283">
        <f t="shared" si="4"/>
        <v>0.84496488678930559</v>
      </c>
      <c r="O16" s="283">
        <f t="shared" si="4"/>
        <v>0.84414210071471951</v>
      </c>
      <c r="P16" s="283">
        <f t="shared" si="4"/>
        <v>0.84335616583755602</v>
      </c>
      <c r="Q16" s="283">
        <f t="shared" si="4"/>
        <v>0.84260945628015882</v>
      </c>
      <c r="R16" s="283">
        <f t="shared" si="4"/>
        <v>0.84190422247259411</v>
      </c>
      <c r="S16" s="283">
        <f t="shared" si="4"/>
        <v>0.84239179297312117</v>
      </c>
      <c r="T16" s="283">
        <f t="shared" si="4"/>
        <v>0.84337455492136726</v>
      </c>
      <c r="U16" s="283">
        <f t="shared" si="4"/>
        <v>0.84421412711211674</v>
      </c>
      <c r="V16" s="283">
        <f t="shared" si="4"/>
        <v>0.84504152470839677</v>
      </c>
      <c r="W16" s="283">
        <f t="shared" si="4"/>
        <v>0.84586000235768177</v>
      </c>
      <c r="X16" s="283">
        <f t="shared" si="4"/>
        <v>0.84667244393693175</v>
      </c>
      <c r="Y16" s="283">
        <f t="shared" si="4"/>
        <v>0.84748139946001155</v>
      </c>
      <c r="Z16" s="283">
        <f t="shared" si="4"/>
        <v>0.8482891171304785</v>
      </c>
      <c r="AA16" s="283">
        <f t="shared" si="4"/>
        <v>0.84909757135003727</v>
      </c>
      <c r="AB16" s="283">
        <f t="shared" si="4"/>
        <v>0.84990848734669289</v>
      </c>
      <c r="AC16" s="283">
        <f t="shared" si="4"/>
        <v>0.85072336296851181</v>
      </c>
      <c r="AD16" s="283">
        <f t="shared" si="4"/>
        <v>0.85154348809297864</v>
      </c>
    </row>
    <row r="17" spans="2:30" ht="15" hidden="1" customHeight="1" outlineLevel="1" x14ac:dyDescent="0.3">
      <c r="B17" s="282"/>
      <c r="G17" s="283"/>
      <c r="H17" s="283"/>
      <c r="I17" s="283"/>
      <c r="J17" s="283"/>
      <c r="K17" s="283"/>
      <c r="L17" s="283"/>
      <c r="M17" s="283"/>
      <c r="N17" s="283"/>
      <c r="O17" s="283"/>
      <c r="P17" s="283"/>
      <c r="Q17" s="283"/>
      <c r="R17" s="283"/>
      <c r="S17" s="283"/>
      <c r="T17" s="283"/>
      <c r="U17" s="283"/>
      <c r="V17" s="283"/>
      <c r="W17" s="283"/>
      <c r="X17" s="283"/>
      <c r="Y17" s="283"/>
      <c r="Z17" s="283"/>
      <c r="AA17" s="283"/>
      <c r="AB17" s="283"/>
      <c r="AC17" s="283"/>
      <c r="AD17" s="283"/>
    </row>
    <row r="18" spans="2:30" ht="15" hidden="1" customHeight="1" outlineLevel="1" x14ac:dyDescent="0.3">
      <c r="B18" s="165"/>
      <c r="G18" s="279"/>
      <c r="H18" s="279"/>
      <c r="I18" s="279"/>
      <c r="J18" s="279"/>
      <c r="K18" s="279"/>
      <c r="L18" s="279"/>
      <c r="M18" s="279"/>
      <c r="N18" s="279"/>
      <c r="O18" s="279"/>
      <c r="P18" s="279"/>
      <c r="Q18" s="279"/>
      <c r="R18" s="279"/>
      <c r="S18" s="279"/>
      <c r="T18" s="279"/>
      <c r="U18" s="279"/>
      <c r="V18" s="279"/>
      <c r="W18" s="279"/>
      <c r="X18" s="279"/>
      <c r="Y18" s="279"/>
      <c r="Z18" s="279"/>
      <c r="AA18" s="279"/>
      <c r="AB18" s="279"/>
      <c r="AC18" s="279"/>
      <c r="AD18" s="279"/>
    </row>
    <row r="19" spans="2:30" ht="15" hidden="1" customHeight="1" outlineLevel="1" x14ac:dyDescent="0.3">
      <c r="B19" s="165" t="s">
        <v>194</v>
      </c>
      <c r="G19" s="280">
        <f>-G302</f>
        <v>-309.96160866666668</v>
      </c>
      <c r="H19" s="280">
        <f t="shared" ref="H19:AD19" si="5">-H302</f>
        <v>-319.17505848052372</v>
      </c>
      <c r="I19" s="280">
        <f t="shared" si="5"/>
        <v>-328.35358650578667</v>
      </c>
      <c r="J19" s="280">
        <f t="shared" si="5"/>
        <v>-337.50402898100492</v>
      </c>
      <c r="K19" s="280">
        <f t="shared" si="5"/>
        <v>-346.63308179624573</v>
      </c>
      <c r="L19" s="280">
        <f t="shared" si="5"/>
        <v>-355.74731070432483</v>
      </c>
      <c r="M19" s="280">
        <f t="shared" si="5"/>
        <v>-364.8531612808149</v>
      </c>
      <c r="N19" s="280">
        <f t="shared" si="5"/>
        <v>-373.95696864714279</v>
      </c>
      <c r="O19" s="280">
        <f t="shared" si="5"/>
        <v>-383.06496697068633</v>
      </c>
      <c r="P19" s="280">
        <f t="shared" si="5"/>
        <v>-392.18329875540525</v>
      </c>
      <c r="Q19" s="280">
        <f t="shared" si="5"/>
        <v>-401.31802393617818</v>
      </c>
      <c r="R19" s="280">
        <f t="shared" si="5"/>
        <v>-410.47512878967962</v>
      </c>
      <c r="S19" s="280">
        <f t="shared" si="5"/>
        <v>-417.74158787541433</v>
      </c>
      <c r="T19" s="280">
        <f t="shared" si="5"/>
        <v>-423.45928612245393</v>
      </c>
      <c r="U19" s="280">
        <f t="shared" si="5"/>
        <v>-429.1577518300237</v>
      </c>
      <c r="V19" s="280">
        <f t="shared" si="5"/>
        <v>-434.84131377109395</v>
      </c>
      <c r="W19" s="280">
        <f t="shared" si="5"/>
        <v>-440.5141094702185</v>
      </c>
      <c r="X19" s="280">
        <f t="shared" si="5"/>
        <v>-446.18009306499664</v>
      </c>
      <c r="Y19" s="280">
        <f t="shared" si="5"/>
        <v>-451.8430427664191</v>
      </c>
      <c r="Z19" s="280">
        <f t="shared" si="5"/>
        <v>-457.50656793261578</v>
      </c>
      <c r="AA19" s="280">
        <f t="shared" si="5"/>
        <v>-463.17411576980624</v>
      </c>
      <c r="AB19" s="280">
        <f t="shared" si="5"/>
        <v>-468.84897767356244</v>
      </c>
      <c r="AC19" s="280">
        <f t="shared" si="5"/>
        <v>-475.96574647778573</v>
      </c>
      <c r="AD19" s="280">
        <f t="shared" si="5"/>
        <v>-483.15575046097729</v>
      </c>
    </row>
    <row r="20" spans="2:30" ht="15" hidden="1" customHeight="1" outlineLevel="1" x14ac:dyDescent="0.3">
      <c r="B20" s="165" t="s">
        <v>195</v>
      </c>
      <c r="G20" s="280">
        <f>-G250</f>
        <v>-306.77916666666664</v>
      </c>
      <c r="H20" s="280">
        <f t="shared" ref="H20:AD20" si="6">-H250</f>
        <v>-315.42083333333329</v>
      </c>
      <c r="I20" s="280">
        <f t="shared" si="6"/>
        <v>-324.0625</v>
      </c>
      <c r="J20" s="280">
        <f t="shared" si="6"/>
        <v>-332.70416666666665</v>
      </c>
      <c r="K20" s="280">
        <f t="shared" si="6"/>
        <v>-341.3458333333333</v>
      </c>
      <c r="L20" s="280">
        <f t="shared" si="6"/>
        <v>-349.98750000000001</v>
      </c>
      <c r="M20" s="280">
        <f t="shared" si="6"/>
        <v>-358.62916666666666</v>
      </c>
      <c r="N20" s="280">
        <f t="shared" si="6"/>
        <v>-367.27083333333326</v>
      </c>
      <c r="O20" s="280">
        <f t="shared" si="6"/>
        <v>-375.91249999999997</v>
      </c>
      <c r="P20" s="280">
        <f t="shared" si="6"/>
        <v>-384.55416666666662</v>
      </c>
      <c r="Q20" s="280">
        <f t="shared" si="6"/>
        <v>-393.19583333333327</v>
      </c>
      <c r="R20" s="280">
        <f t="shared" si="6"/>
        <v>-401.83749999999998</v>
      </c>
      <c r="S20" s="280">
        <f t="shared" si="6"/>
        <v>-408.31874999999997</v>
      </c>
      <c r="T20" s="280">
        <f t="shared" si="6"/>
        <v>-412.63958333333329</v>
      </c>
      <c r="U20" s="280">
        <f t="shared" si="6"/>
        <v>-416.96041666666662</v>
      </c>
      <c r="V20" s="280">
        <f t="shared" si="6"/>
        <v>-421.28125</v>
      </c>
      <c r="W20" s="280">
        <f t="shared" si="6"/>
        <v>-425.60208333333327</v>
      </c>
      <c r="X20" s="280">
        <f t="shared" si="6"/>
        <v>-429.92291666666665</v>
      </c>
      <c r="Y20" s="280">
        <f t="shared" si="6"/>
        <v>-434.24374999999998</v>
      </c>
      <c r="Z20" s="280">
        <f t="shared" si="6"/>
        <v>-438.5645833333333</v>
      </c>
      <c r="AA20" s="280">
        <f t="shared" si="6"/>
        <v>-442.88541666666663</v>
      </c>
      <c r="AB20" s="280">
        <f t="shared" si="6"/>
        <v>-447.20625000000001</v>
      </c>
      <c r="AC20" s="280">
        <f t="shared" si="6"/>
        <v>-451.52708333333328</v>
      </c>
      <c r="AD20" s="280">
        <f t="shared" si="6"/>
        <v>-455.84791666666661</v>
      </c>
    </row>
    <row r="21" spans="2:30" ht="15" hidden="1" customHeight="1" outlineLevel="1" x14ac:dyDescent="0.3">
      <c r="B21" s="165" t="s">
        <v>86</v>
      </c>
      <c r="G21" s="280">
        <f>-G303</f>
        <v>-204.65519666666665</v>
      </c>
      <c r="H21" s="280">
        <f t="shared" ref="H21:AD21" si="7">-H303</f>
        <v>-208.68004177180268</v>
      </c>
      <c r="I21" s="280">
        <f t="shared" si="7"/>
        <v>-212.67994274222858</v>
      </c>
      <c r="J21" s="280">
        <f t="shared" si="7"/>
        <v>-216.65978260547973</v>
      </c>
      <c r="K21" s="280">
        <f t="shared" si="7"/>
        <v>-220.62434414017554</v>
      </c>
      <c r="L21" s="280">
        <f t="shared" si="7"/>
        <v>-224.57831716975585</v>
      </c>
      <c r="M21" s="280">
        <f t="shared" si="7"/>
        <v>-228.52630567677258</v>
      </c>
      <c r="N21" s="280">
        <f t="shared" si="7"/>
        <v>-232.47283474795918</v>
      </c>
      <c r="O21" s="280">
        <f t="shared" si="7"/>
        <v>-236.42235736001408</v>
      </c>
      <c r="P21" s="280">
        <f t="shared" si="7"/>
        <v>-240.37926101576574</v>
      </c>
      <c r="Q21" s="280">
        <f t="shared" si="7"/>
        <v>-244.34787424012728</v>
      </c>
      <c r="R21" s="280">
        <f t="shared" si="7"/>
        <v>-248.33247294500939</v>
      </c>
      <c r="S21" s="280">
        <f t="shared" si="7"/>
        <v>-251.06432038129043</v>
      </c>
      <c r="T21" s="280">
        <f t="shared" si="7"/>
        <v>-253.10357516908579</v>
      </c>
      <c r="U21" s="280">
        <f t="shared" si="7"/>
        <v>-255.11410166067387</v>
      </c>
      <c r="V21" s="280">
        <f t="shared" si="7"/>
        <v>-257.09874599528212</v>
      </c>
      <c r="W21" s="280">
        <f t="shared" si="7"/>
        <v>-259.06017580003044</v>
      </c>
      <c r="X21" s="280">
        <f t="shared" si="7"/>
        <v>-261.00088617992321</v>
      </c>
      <c r="Y21" s="280">
        <f t="shared" si="7"/>
        <v>-262.92320534293486</v>
      </c>
      <c r="Z21" s="280">
        <f t="shared" si="7"/>
        <v>-264.82929987222735</v>
      </c>
      <c r="AA21" s="280">
        <f t="shared" si="7"/>
        <v>-266.72117965688858</v>
      </c>
      <c r="AB21" s="280">
        <f t="shared" si="7"/>
        <v>-268.60070249195377</v>
      </c>
      <c r="AC21" s="280">
        <f t="shared" si="7"/>
        <v>-271.90102961282628</v>
      </c>
      <c r="AD21" s="280">
        <f t="shared" si="7"/>
        <v>-275.25205801144614</v>
      </c>
    </row>
    <row r="22" spans="2:30" ht="15" hidden="1" customHeight="1" outlineLevel="1" x14ac:dyDescent="0.3">
      <c r="B22" s="173" t="s">
        <v>162</v>
      </c>
      <c r="G22" s="281">
        <f>G14+SUM(G19:G21)</f>
        <v>-43.758478666666747</v>
      </c>
      <c r="H22" s="281">
        <f>H14+SUM(H19:H21)</f>
        <v>-49.184495086867628</v>
      </c>
      <c r="I22" s="281">
        <f t="shared" ref="I22:AD22" si="8">I14+SUM(I19:I21)</f>
        <v>-54.787614863510726</v>
      </c>
      <c r="J22" s="281">
        <f t="shared" si="8"/>
        <v>-60.533168501093996</v>
      </c>
      <c r="K22" s="281">
        <f t="shared" si="8"/>
        <v>-66.387198271420289</v>
      </c>
      <c r="L22" s="281">
        <f t="shared" si="8"/>
        <v>-72.316406428067125</v>
      </c>
      <c r="M22" s="281">
        <f t="shared" si="8"/>
        <v>-78.28810469491475</v>
      </c>
      <c r="N22" s="281">
        <f t="shared" si="8"/>
        <v>-84.270164956156805</v>
      </c>
      <c r="O22" s="281">
        <f t="shared" si="8"/>
        <v>-90.230971077233335</v>
      </c>
      <c r="P22" s="281">
        <f t="shared" si="8"/>
        <v>-96.139371788063727</v>
      </c>
      <c r="Q22" s="281">
        <f t="shared" si="8"/>
        <v>-101.96463456176343</v>
      </c>
      <c r="R22" s="281">
        <f t="shared" si="8"/>
        <v>-107.67640042376752</v>
      </c>
      <c r="S22" s="281">
        <f t="shared" si="8"/>
        <v>-101.97330527125871</v>
      </c>
      <c r="T22" s="281">
        <f t="shared" si="8"/>
        <v>-91.088809482376178</v>
      </c>
      <c r="U22" s="281">
        <f t="shared" si="8"/>
        <v>-80.078245301968536</v>
      </c>
      <c r="V22" s="281">
        <f t="shared" si="8"/>
        <v>-68.766158424176183</v>
      </c>
      <c r="W22" s="281">
        <f t="shared" si="8"/>
        <v>-57.124443936612806</v>
      </c>
      <c r="X22" s="281">
        <f t="shared" si="8"/>
        <v>-45.124899057754419</v>
      </c>
      <c r="Y22" s="281">
        <f t="shared" si="8"/>
        <v>-32.739192634931442</v>
      </c>
      <c r="Z22" s="281">
        <f t="shared" si="8"/>
        <v>-19.938834703946213</v>
      </c>
      <c r="AA22" s="281">
        <f t="shared" si="8"/>
        <v>-6.6951460782263439</v>
      </c>
      <c r="AB22" s="281">
        <f t="shared" si="8"/>
        <v>7.0207720643636549</v>
      </c>
      <c r="AC22" s="281">
        <f t="shared" si="8"/>
        <v>18.375166118848256</v>
      </c>
      <c r="AD22" s="281">
        <f t="shared" si="8"/>
        <v>30.140803870616764</v>
      </c>
    </row>
    <row r="23" spans="2:30" ht="15" hidden="1" customHeight="1" outlineLevel="1" x14ac:dyDescent="0.3">
      <c r="B23" s="173"/>
      <c r="G23" s="279"/>
      <c r="H23" s="279"/>
      <c r="I23" s="279"/>
      <c r="J23" s="279"/>
      <c r="K23" s="279"/>
      <c r="L23" s="279"/>
      <c r="M23" s="279"/>
      <c r="N23" s="279"/>
      <c r="O23" s="279"/>
      <c r="P23" s="279"/>
      <c r="Q23" s="279"/>
      <c r="R23" s="279"/>
      <c r="S23" s="279"/>
      <c r="T23" s="279"/>
      <c r="U23" s="279"/>
      <c r="V23" s="279"/>
      <c r="W23" s="279"/>
      <c r="X23" s="279"/>
      <c r="Y23" s="279"/>
      <c r="Z23" s="279"/>
      <c r="AA23" s="279"/>
      <c r="AB23" s="279"/>
      <c r="AC23" s="279"/>
      <c r="AD23" s="279"/>
    </row>
    <row r="24" spans="2:30" ht="15" hidden="1" customHeight="1" outlineLevel="1" x14ac:dyDescent="0.3">
      <c r="B24" s="282" t="s">
        <v>189</v>
      </c>
      <c r="G24" s="284">
        <f>G22/G10</f>
        <v>-4.7916542016544862E-2</v>
      </c>
      <c r="H24" s="284">
        <f t="shared" ref="H24:AD24" si="9">H22/H10</f>
        <v>-5.2680011333502356E-2</v>
      </c>
      <c r="I24" s="284">
        <f t="shared" si="9"/>
        <v>-5.7440187756242288E-2</v>
      </c>
      <c r="J24" s="284">
        <f t="shared" si="9"/>
        <v>-6.2162212618152766E-2</v>
      </c>
      <c r="K24" s="284">
        <f t="shared" si="9"/>
        <v>-6.681385318172893E-2</v>
      </c>
      <c r="L24" s="284">
        <f t="shared" si="9"/>
        <v>-7.1365179590277841E-2</v>
      </c>
      <c r="M24" s="284">
        <f t="shared" si="9"/>
        <v>-7.578831136200552E-2</v>
      </c>
      <c r="N24" s="284">
        <f t="shared" si="9"/>
        <v>-8.0057219368717444E-2</v>
      </c>
      <c r="O24" s="284">
        <f t="shared" si="9"/>
        <v>-8.4147572246762017E-2</v>
      </c>
      <c r="P24" s="284">
        <f t="shared" si="9"/>
        <v>-8.8036618455233848E-2</v>
      </c>
      <c r="Q24" s="284">
        <f t="shared" si="9"/>
        <v>-9.1703096922577582E-2</v>
      </c>
      <c r="R24" s="284">
        <f t="shared" si="9"/>
        <v>-9.512717054895449E-2</v>
      </c>
      <c r="S24" s="284">
        <f t="shared" si="9"/>
        <v>-8.8090402787077027E-2</v>
      </c>
      <c r="T24" s="284">
        <f t="shared" si="9"/>
        <v>-7.6967172324570676E-2</v>
      </c>
      <c r="U24" s="284">
        <f t="shared" si="9"/>
        <v>-6.6202731725847661E-2</v>
      </c>
      <c r="V24" s="284">
        <f t="shared" si="9"/>
        <v>-5.563691201908396E-2</v>
      </c>
      <c r="W24" s="284">
        <f t="shared" si="9"/>
        <v>-4.5240574139661857E-2</v>
      </c>
      <c r="X24" s="284">
        <f t="shared" si="9"/>
        <v>-3.4987860277270869E-2</v>
      </c>
      <c r="Y24" s="284">
        <f t="shared" si="9"/>
        <v>-2.4855847394172802E-2</v>
      </c>
      <c r="Z24" s="284">
        <f t="shared" si="9"/>
        <v>-1.4824246709088192E-2</v>
      </c>
      <c r="AA24" s="284">
        <f t="shared" si="9"/>
        <v>-4.8751416195661314E-3</v>
      </c>
      <c r="AB24" s="284">
        <f t="shared" si="9"/>
        <v>5.0072421102667223E-3</v>
      </c>
      <c r="AC24" s="284">
        <f t="shared" si="9"/>
        <v>1.2836738977462452E-2</v>
      </c>
      <c r="AD24" s="284">
        <f t="shared" si="9"/>
        <v>2.0625423378781496E-2</v>
      </c>
    </row>
    <row r="25" spans="2:30" ht="15" hidden="1" customHeight="1" outlineLevel="1" x14ac:dyDescent="0.3">
      <c r="B25" s="282"/>
      <c r="G25" s="284"/>
      <c r="H25" s="284"/>
      <c r="I25" s="284"/>
      <c r="J25" s="284"/>
      <c r="K25" s="284"/>
      <c r="L25" s="284"/>
      <c r="M25" s="284"/>
      <c r="N25" s="284"/>
      <c r="O25" s="284"/>
      <c r="P25" s="284"/>
      <c r="Q25" s="284"/>
      <c r="R25" s="284"/>
      <c r="S25" s="284"/>
      <c r="T25" s="284"/>
      <c r="U25" s="284"/>
      <c r="V25" s="284"/>
      <c r="W25" s="284"/>
      <c r="X25" s="284"/>
      <c r="Y25" s="284"/>
      <c r="Z25" s="284"/>
      <c r="AA25" s="284"/>
      <c r="AB25" s="283"/>
      <c r="AC25" s="283"/>
      <c r="AD25" s="283"/>
    </row>
    <row r="26" spans="2:30" ht="15" hidden="1" customHeight="1" outlineLevel="1" x14ac:dyDescent="0.3">
      <c r="B26" s="173"/>
      <c r="G26" s="279"/>
      <c r="H26" s="279"/>
      <c r="I26" s="279"/>
      <c r="J26" s="279"/>
      <c r="K26" s="279"/>
      <c r="L26" s="279"/>
      <c r="M26" s="279"/>
      <c r="N26" s="279"/>
      <c r="O26" s="279"/>
      <c r="P26" s="279"/>
      <c r="Q26" s="279"/>
      <c r="R26" s="279"/>
      <c r="S26" s="279"/>
      <c r="T26" s="279"/>
      <c r="U26" s="279"/>
      <c r="V26" s="279"/>
      <c r="W26" s="279"/>
      <c r="X26" s="279"/>
      <c r="Y26" s="279"/>
      <c r="Z26" s="279"/>
      <c r="AA26" s="279"/>
      <c r="AB26" s="279"/>
      <c r="AC26" s="279"/>
      <c r="AD26" s="279"/>
    </row>
    <row r="27" spans="2:30" ht="15" hidden="1" customHeight="1" outlineLevel="1" x14ac:dyDescent="0.3">
      <c r="B27" s="174" t="s">
        <v>163</v>
      </c>
      <c r="G27" s="280">
        <f>-G451</f>
        <v>-15.785123777777779</v>
      </c>
      <c r="H27" s="280">
        <f t="shared" ref="H27:AD27" si="10">-H451</f>
        <v>-16.303816139472978</v>
      </c>
      <c r="I27" s="280">
        <f t="shared" si="10"/>
        <v>-16.833716284337211</v>
      </c>
      <c r="J27" s="280">
        <f t="shared" si="10"/>
        <v>-17.374712761775061</v>
      </c>
      <c r="K27" s="280">
        <f t="shared" si="10"/>
        <v>-17.926720692183444</v>
      </c>
      <c r="L27" s="280">
        <f t="shared" si="10"/>
        <v>-18.489681250533941</v>
      </c>
      <c r="M27" s="280">
        <f t="shared" si="10"/>
        <v>-19.063561189478971</v>
      </c>
      <c r="N27" s="280">
        <f t="shared" si="10"/>
        <v>-19.648352401041706</v>
      </c>
      <c r="O27" s="280">
        <f t="shared" si="10"/>
        <v>-20.244071516004748</v>
      </c>
      <c r="P27" s="280">
        <f t="shared" si="10"/>
        <v>-20.850759540166408</v>
      </c>
      <c r="Q27" s="280">
        <f t="shared" si="10"/>
        <v>-21.468481526685636</v>
      </c>
      <c r="R27" s="280">
        <f t="shared" si="10"/>
        <v>-22.097326283787538</v>
      </c>
      <c r="S27" s="280">
        <f t="shared" si="10"/>
        <v>-22.676125460797422</v>
      </c>
      <c r="T27" s="280">
        <f t="shared" si="10"/>
        <v>-23.267863514381194</v>
      </c>
      <c r="U27" s="280">
        <f t="shared" si="10"/>
        <v>-23.872659141498069</v>
      </c>
      <c r="V27" s="280">
        <f t="shared" si="10"/>
        <v>-24.490649572029049</v>
      </c>
      <c r="W27" s="280">
        <f t="shared" si="10"/>
        <v>-25.121990409573073</v>
      </c>
      <c r="X27" s="280">
        <f t="shared" si="10"/>
        <v>-25.766855495636491</v>
      </c>
      <c r="Y27" s="280">
        <f t="shared" si="10"/>
        <v>-26.425436796763378</v>
      </c>
      <c r="Z27" s="280">
        <f t="shared" si="10"/>
        <v>-27.097944314184907</v>
      </c>
      <c r="AA27" s="280">
        <f t="shared" si="10"/>
        <v>-27.784606015596381</v>
      </c>
      <c r="AB27" s="280">
        <f t="shared" si="10"/>
        <v>-28.485667788699828</v>
      </c>
      <c r="AC27" s="280">
        <f t="shared" si="10"/>
        <v>-29.20139341617849</v>
      </c>
      <c r="AD27" s="280">
        <f t="shared" si="10"/>
        <v>-29.932064571797632</v>
      </c>
    </row>
    <row r="28" spans="2:30" ht="15" hidden="1" customHeight="1" outlineLevel="1" x14ac:dyDescent="0.3">
      <c r="B28" s="173" t="s">
        <v>164</v>
      </c>
      <c r="G28" s="281">
        <f>G22+G27</f>
        <v>-59.543602444444524</v>
      </c>
      <c r="H28" s="281">
        <f t="shared" ref="H28:AD28" si="11">H22+H27</f>
        <v>-65.488311226340613</v>
      </c>
      <c r="I28" s="281">
        <f t="shared" si="11"/>
        <v>-71.62133114784794</v>
      </c>
      <c r="J28" s="281">
        <f t="shared" si="11"/>
        <v>-77.907881262869054</v>
      </c>
      <c r="K28" s="281">
        <f t="shared" si="11"/>
        <v>-84.313918963603726</v>
      </c>
      <c r="L28" s="281">
        <f t="shared" si="11"/>
        <v>-90.806087678601074</v>
      </c>
      <c r="M28" s="281">
        <f t="shared" si="11"/>
        <v>-97.351665884393725</v>
      </c>
      <c r="N28" s="281">
        <f t="shared" si="11"/>
        <v>-103.91851735719851</v>
      </c>
      <c r="O28" s="281">
        <f t="shared" si="11"/>
        <v>-110.47504259323809</v>
      </c>
      <c r="P28" s="281">
        <f t="shared" si="11"/>
        <v>-116.99013132823013</v>
      </c>
      <c r="Q28" s="281">
        <f t="shared" si="11"/>
        <v>-123.43311608844907</v>
      </c>
      <c r="R28" s="281">
        <f t="shared" si="11"/>
        <v>-129.77372670755506</v>
      </c>
      <c r="S28" s="281">
        <f t="shared" si="11"/>
        <v>-124.64943073205613</v>
      </c>
      <c r="T28" s="281">
        <f t="shared" si="11"/>
        <v>-114.35667299675737</v>
      </c>
      <c r="U28" s="281">
        <f t="shared" si="11"/>
        <v>-103.95090444346661</v>
      </c>
      <c r="V28" s="281">
        <f t="shared" si="11"/>
        <v>-93.256807996205225</v>
      </c>
      <c r="W28" s="281">
        <f t="shared" si="11"/>
        <v>-82.246434346185879</v>
      </c>
      <c r="X28" s="281">
        <f t="shared" si="11"/>
        <v>-70.891754553390911</v>
      </c>
      <c r="Y28" s="281">
        <f t="shared" si="11"/>
        <v>-59.16462943169482</v>
      </c>
      <c r="Z28" s="281">
        <f t="shared" si="11"/>
        <v>-47.036779018131121</v>
      </c>
      <c r="AA28" s="281">
        <f t="shared" si="11"/>
        <v>-34.479752093822725</v>
      </c>
      <c r="AB28" s="281">
        <f t="shared" si="11"/>
        <v>-21.464895724336174</v>
      </c>
      <c r="AC28" s="281">
        <f t="shared" si="11"/>
        <v>-10.826227297330234</v>
      </c>
      <c r="AD28" s="281">
        <f t="shared" si="11"/>
        <v>0.20873929881913256</v>
      </c>
    </row>
    <row r="29" spans="2:30" ht="15" hidden="1" customHeight="1" outlineLevel="1" x14ac:dyDescent="0.3">
      <c r="B29" s="173"/>
      <c r="G29" s="279"/>
      <c r="H29" s="279"/>
      <c r="I29" s="279"/>
      <c r="J29" s="279"/>
      <c r="K29" s="279"/>
      <c r="L29" s="279"/>
      <c r="M29" s="279"/>
      <c r="N29" s="279"/>
      <c r="O29" s="279"/>
      <c r="P29" s="279"/>
      <c r="Q29" s="279"/>
      <c r="R29" s="279"/>
      <c r="S29" s="279"/>
      <c r="T29" s="279"/>
      <c r="U29" s="279"/>
      <c r="V29" s="279"/>
      <c r="W29" s="279"/>
      <c r="X29" s="279"/>
      <c r="Y29" s="279"/>
      <c r="Z29" s="279"/>
      <c r="AA29" s="279"/>
      <c r="AB29" s="279"/>
      <c r="AC29" s="279"/>
      <c r="AD29" s="279"/>
    </row>
    <row r="30" spans="2:30" ht="15" hidden="1" customHeight="1" outlineLevel="1" x14ac:dyDescent="0.3">
      <c r="B30" s="173"/>
      <c r="G30" s="279"/>
      <c r="H30" s="279"/>
      <c r="I30" s="279"/>
      <c r="J30" s="279"/>
      <c r="K30" s="279"/>
      <c r="L30" s="279"/>
      <c r="M30" s="279"/>
      <c r="N30" s="279"/>
      <c r="O30" s="279"/>
      <c r="P30" s="279"/>
      <c r="Q30" s="279"/>
      <c r="R30" s="279"/>
      <c r="S30" s="279"/>
      <c r="T30" s="279"/>
      <c r="U30" s="279"/>
      <c r="V30" s="279"/>
      <c r="W30" s="279"/>
      <c r="X30" s="279"/>
      <c r="Y30" s="279"/>
      <c r="Z30" s="279"/>
      <c r="AA30" s="279"/>
      <c r="AB30" s="279"/>
      <c r="AC30" s="279"/>
      <c r="AD30" s="279"/>
    </row>
    <row r="31" spans="2:30" ht="15" hidden="1" customHeight="1" outlineLevel="1" x14ac:dyDescent="0.3">
      <c r="B31" s="174" t="s">
        <v>165</v>
      </c>
      <c r="G31" s="280">
        <f>G329*Inputs!$E$210/12</f>
        <v>8.0208333333333339</v>
      </c>
      <c r="H31" s="280">
        <f ca="1">H329*Inputs!$E$210/12</f>
        <v>8.0297139916666662</v>
      </c>
      <c r="I31" s="280">
        <f ca="1">I329*Inputs!$E$210/12</f>
        <v>8.0218887143450122</v>
      </c>
      <c r="J31" s="280">
        <f ca="1">J329*Inputs!$E$210/12</f>
        <v>8.0001320090773866</v>
      </c>
      <c r="K31" s="280">
        <f ca="1">K329*Inputs!$E$210/12</f>
        <v>7.9644008048396664</v>
      </c>
      <c r="L31" s="280">
        <f ca="1">L329*Inputs!$E$210/12</f>
        <v>7.9147150612792805</v>
      </c>
      <c r="M31" s="280">
        <f ca="1">M329*Inputs!$E$210/12</f>
        <v>7.8511569735645779</v>
      </c>
      <c r="N31" s="280">
        <f ca="1">N329*Inputs!$E$210/12</f>
        <v>7.7738702677642584</v>
      </c>
      <c r="O31" s="280">
        <f ca="1">O329*Inputs!$E$210/12</f>
        <v>7.6830595850872028</v>
      </c>
      <c r="P31" s="280">
        <f ca="1">P329*Inputs!$E$210/12</f>
        <v>7.5789899534363672</v>
      </c>
      <c r="Q31" s="280">
        <f ca="1">Q329*Inputs!$E$210/12</f>
        <v>7.4619863448509252</v>
      </c>
      <c r="R31" s="280">
        <f ca="1">R329*Inputs!$E$210/12</f>
        <v>7.3324333175287295</v>
      </c>
      <c r="S31" s="280">
        <f ca="1">S329*Inputs!$E$210/12</f>
        <v>7.190774741236531</v>
      </c>
      <c r="T31" s="280">
        <f ca="1">T329*Inputs!$E$210/12</f>
        <v>7.0885922294044441</v>
      </c>
      <c r="U31" s="280">
        <f ca="1">U329*Inputs!$E$210/12</f>
        <v>7.0081936129153695</v>
      </c>
      <c r="V31" s="280">
        <f ca="1">V329*Inputs!$E$210/12</f>
        <v>6.9506134471284318</v>
      </c>
      <c r="W31" s="280">
        <f ca="1">W329*Inputs!$E$210/12</f>
        <v>6.916704744440989</v>
      </c>
      <c r="X31" s="280">
        <f ca="1">X329*Inputs!$E$210/12</f>
        <v>6.9073921338844686</v>
      </c>
      <c r="Y31" s="280">
        <f ca="1">Y329*Inputs!$E$210/12</f>
        <v>6.923657139412362</v>
      </c>
      <c r="Z31" s="280">
        <f ca="1">Z329*Inputs!$E$210/12</f>
        <v>6.9665388384741478</v>
      </c>
      <c r="AA31" s="280">
        <f ca="1">AA329*Inputs!$E$210/12</f>
        <v>7.0371345773019227</v>
      </c>
      <c r="AB31" s="280">
        <f ca="1">AB329*Inputs!$E$210/12</f>
        <v>7.1366007433673531</v>
      </c>
      <c r="AC31" s="280">
        <f ca="1">AC329*Inputs!$E$210/12</f>
        <v>7.2661535955198877</v>
      </c>
      <c r="AD31" s="280">
        <f ca="1">AD329*Inputs!$E$210/12</f>
        <v>7.4299032329796217</v>
      </c>
    </row>
    <row r="32" spans="2:30" ht="15" hidden="1" customHeight="1" outlineLevel="1" x14ac:dyDescent="0.3">
      <c r="B32" s="173" t="s">
        <v>166</v>
      </c>
      <c r="G32" s="281">
        <f>G28+G31</f>
        <v>-51.522769111111188</v>
      </c>
      <c r="H32" s="281">
        <f t="shared" ref="H32:AD32" ca="1" si="12">H28+H31</f>
        <v>-57.458597234673945</v>
      </c>
      <c r="I32" s="281">
        <f t="shared" ca="1" si="12"/>
        <v>-63.599442433502929</v>
      </c>
      <c r="J32" s="281">
        <f t="shared" ca="1" si="12"/>
        <v>-69.907749253791664</v>
      </c>
      <c r="K32" s="281">
        <f t="shared" ca="1" si="12"/>
        <v>-76.349518158764056</v>
      </c>
      <c r="L32" s="281">
        <f t="shared" ca="1" si="12"/>
        <v>-82.891372617321792</v>
      </c>
      <c r="M32" s="281">
        <f t="shared" ca="1" si="12"/>
        <v>-89.500508910829154</v>
      </c>
      <c r="N32" s="281">
        <f t="shared" ca="1" si="12"/>
        <v>-96.144647089434258</v>
      </c>
      <c r="O32" s="281">
        <f t="shared" ca="1" si="12"/>
        <v>-102.79198300815088</v>
      </c>
      <c r="P32" s="281">
        <f t="shared" ca="1" si="12"/>
        <v>-109.41114137479377</v>
      </c>
      <c r="Q32" s="281">
        <f t="shared" ca="1" si="12"/>
        <v>-115.97112974359814</v>
      </c>
      <c r="R32" s="281">
        <f t="shared" ca="1" si="12"/>
        <v>-122.44129339002633</v>
      </c>
      <c r="S32" s="281">
        <f t="shared" ca="1" si="12"/>
        <v>-117.45865599081961</v>
      </c>
      <c r="T32" s="281">
        <f t="shared" ca="1" si="12"/>
        <v>-107.26808076735293</v>
      </c>
      <c r="U32" s="281">
        <f t="shared" ca="1" si="12"/>
        <v>-96.942710830551249</v>
      </c>
      <c r="V32" s="281">
        <f t="shared" ca="1" si="12"/>
        <v>-86.306194549076793</v>
      </c>
      <c r="W32" s="281">
        <f t="shared" ca="1" si="12"/>
        <v>-75.329729601744887</v>
      </c>
      <c r="X32" s="281">
        <f t="shared" ca="1" si="12"/>
        <v>-63.984362419506439</v>
      </c>
      <c r="Y32" s="281">
        <f t="shared" ca="1" si="12"/>
        <v>-52.240972292282457</v>
      </c>
      <c r="Z32" s="281">
        <f t="shared" ca="1" si="12"/>
        <v>-40.07024017965697</v>
      </c>
      <c r="AA32" s="281">
        <f t="shared" ca="1" si="12"/>
        <v>-27.442617516520802</v>
      </c>
      <c r="AB32" s="281">
        <f t="shared" ca="1" si="12"/>
        <v>-14.32829498096882</v>
      </c>
      <c r="AC32" s="281">
        <f t="shared" ca="1" si="12"/>
        <v>-3.5600737018103468</v>
      </c>
      <c r="AD32" s="281">
        <f t="shared" ca="1" si="12"/>
        <v>7.6386425317987543</v>
      </c>
    </row>
    <row r="33" spans="1:30" ht="15" hidden="1" customHeight="1" outlineLevel="1" x14ac:dyDescent="0.3">
      <c r="B33" s="173"/>
      <c r="G33" s="279"/>
      <c r="H33" s="279"/>
      <c r="I33" s="279"/>
      <c r="J33" s="279"/>
      <c r="K33" s="279"/>
      <c r="L33" s="279"/>
      <c r="M33" s="279"/>
      <c r="N33" s="279"/>
      <c r="O33" s="279"/>
      <c r="P33" s="279"/>
      <c r="Q33" s="279"/>
      <c r="R33" s="279"/>
      <c r="S33" s="279"/>
      <c r="T33" s="279"/>
      <c r="U33" s="279"/>
      <c r="V33" s="279"/>
      <c r="W33" s="279"/>
      <c r="X33" s="279"/>
      <c r="Y33" s="279"/>
      <c r="Z33" s="279"/>
      <c r="AA33" s="279"/>
      <c r="AB33" s="279"/>
      <c r="AC33" s="279"/>
      <c r="AD33" s="279"/>
    </row>
    <row r="34" spans="1:30" ht="15" hidden="1" customHeight="1" outlineLevel="1" x14ac:dyDescent="0.3">
      <c r="B34" s="173"/>
      <c r="E34" s="149" t="s">
        <v>33</v>
      </c>
      <c r="G34" s="279"/>
      <c r="H34" s="279"/>
      <c r="I34" s="279"/>
      <c r="J34" s="279"/>
      <c r="K34" s="279"/>
      <c r="L34" s="279"/>
      <c r="M34" s="279"/>
      <c r="N34" s="279"/>
      <c r="O34" s="279"/>
      <c r="P34" s="279"/>
      <c r="Q34" s="279"/>
      <c r="R34" s="279"/>
      <c r="S34" s="279"/>
      <c r="T34" s="279"/>
      <c r="U34" s="279"/>
      <c r="V34" s="279"/>
      <c r="W34" s="279"/>
      <c r="X34" s="279"/>
      <c r="Y34" s="279"/>
      <c r="Z34" s="279"/>
      <c r="AA34" s="279"/>
      <c r="AB34" s="279"/>
      <c r="AC34" s="279"/>
      <c r="AD34" s="279"/>
    </row>
    <row r="35" spans="1:30" ht="15" hidden="1" customHeight="1" outlineLevel="1" x14ac:dyDescent="0.3">
      <c r="B35" s="174" t="s">
        <v>167</v>
      </c>
      <c r="G35" s="280">
        <f>-MAX(G32*Inputs!$E$209,0)</f>
        <v>0</v>
      </c>
      <c r="H35" s="280">
        <f ca="1">-MAX(H32*Inputs!$E$209,0)</f>
        <v>0</v>
      </c>
      <c r="I35" s="280">
        <f ca="1">-MAX(I32*Inputs!$E$209,0)</f>
        <v>0</v>
      </c>
      <c r="J35" s="280">
        <f ca="1">-MAX(J32*Inputs!$E$209,0)</f>
        <v>0</v>
      </c>
      <c r="K35" s="280">
        <f ca="1">-MAX(K32*Inputs!$E$209,0)</f>
        <v>0</v>
      </c>
      <c r="L35" s="280">
        <f ca="1">-MAX(L32*Inputs!$E$209,0)</f>
        <v>0</v>
      </c>
      <c r="M35" s="280">
        <f ca="1">-MAX(M32*Inputs!$E$209,0)</f>
        <v>0</v>
      </c>
      <c r="N35" s="280">
        <f ca="1">-MAX(N32*Inputs!$E$209,0)</f>
        <v>0</v>
      </c>
      <c r="O35" s="280">
        <f ca="1">-MAX(O32*Inputs!$E$209,0)</f>
        <v>0</v>
      </c>
      <c r="P35" s="280">
        <f ca="1">-MAX(P32*Inputs!$E$209,0)</f>
        <v>0</v>
      </c>
      <c r="Q35" s="280">
        <f ca="1">-MAX(Q32*Inputs!$E$209,0)</f>
        <v>0</v>
      </c>
      <c r="R35" s="280">
        <f ca="1">-MAX(R32*Inputs!$E$209,0)</f>
        <v>0</v>
      </c>
      <c r="S35" s="280">
        <f ca="1">-MAX(S32*Inputs!$E$209,0)</f>
        <v>0</v>
      </c>
      <c r="T35" s="280">
        <f ca="1">-MAX(T32*Inputs!$E$209,0)</f>
        <v>0</v>
      </c>
      <c r="U35" s="280">
        <f ca="1">-MAX(U32*Inputs!$E$209,0)</f>
        <v>0</v>
      </c>
      <c r="V35" s="280">
        <f ca="1">-MAX(V32*Inputs!$E$209,0)</f>
        <v>0</v>
      </c>
      <c r="W35" s="280">
        <f ca="1">-MAX(W32*Inputs!$E$209,0)</f>
        <v>0</v>
      </c>
      <c r="X35" s="280">
        <f ca="1">-MAX(X32*Inputs!$E$209,0)</f>
        <v>0</v>
      </c>
      <c r="Y35" s="280">
        <f ca="1">-MAX(Y32*Inputs!$E$209,0)</f>
        <v>0</v>
      </c>
      <c r="Z35" s="280">
        <f ca="1">-MAX(Z32*Inputs!$E$209,0)</f>
        <v>0</v>
      </c>
      <c r="AA35" s="280">
        <f ca="1">-MAX(AA32*Inputs!$E$209,0)</f>
        <v>0</v>
      </c>
      <c r="AB35" s="280">
        <f ca="1">-MAX(AB32*Inputs!$E$209,0)</f>
        <v>0</v>
      </c>
      <c r="AC35" s="280">
        <f ca="1">-MAX(AC32*Inputs!$E$209,0)</f>
        <v>0</v>
      </c>
      <c r="AD35" s="280">
        <f ca="1">-MAX(AD32*Inputs!$E$209,0)</f>
        <v>-1.9707697732040788</v>
      </c>
    </row>
    <row r="36" spans="1:30" ht="15" hidden="1" customHeight="1" outlineLevel="1" x14ac:dyDescent="0.3">
      <c r="B36" s="174"/>
      <c r="G36" s="280"/>
      <c r="H36" s="280"/>
      <c r="I36" s="280"/>
      <c r="J36" s="280"/>
      <c r="K36" s="280"/>
      <c r="L36" s="280"/>
      <c r="M36" s="280"/>
      <c r="N36" s="280"/>
      <c r="O36" s="280"/>
      <c r="P36" s="280"/>
      <c r="Q36" s="280"/>
      <c r="R36" s="280"/>
      <c r="S36" s="280"/>
      <c r="T36" s="280"/>
      <c r="U36" s="280"/>
      <c r="V36" s="280"/>
      <c r="W36" s="280"/>
      <c r="X36" s="280"/>
      <c r="Y36" s="280"/>
      <c r="Z36" s="280"/>
      <c r="AA36" s="280"/>
      <c r="AB36" s="280"/>
      <c r="AC36" s="280"/>
      <c r="AD36" s="280"/>
    </row>
    <row r="37" spans="1:30" ht="15" hidden="1" customHeight="1" outlineLevel="1" thickBot="1" x14ac:dyDescent="0.35">
      <c r="B37" s="173"/>
      <c r="G37" s="279"/>
      <c r="H37" s="279"/>
      <c r="I37" s="279"/>
      <c r="J37" s="279"/>
      <c r="K37" s="279"/>
      <c r="L37" s="279"/>
      <c r="M37" s="279"/>
      <c r="N37" s="279"/>
      <c r="O37" s="279"/>
      <c r="P37" s="279"/>
      <c r="Q37" s="279"/>
      <c r="R37" s="279"/>
      <c r="S37" s="279"/>
      <c r="T37" s="279"/>
      <c r="U37" s="279"/>
      <c r="V37" s="279"/>
      <c r="W37" s="279"/>
      <c r="X37" s="279"/>
      <c r="Y37" s="279"/>
      <c r="Z37" s="279"/>
      <c r="AA37" s="279"/>
      <c r="AB37" s="279"/>
      <c r="AC37" s="279"/>
      <c r="AD37" s="279"/>
    </row>
    <row r="38" spans="1:30" ht="15" hidden="1" customHeight="1" outlineLevel="1" x14ac:dyDescent="0.3">
      <c r="B38" s="173" t="s">
        <v>168</v>
      </c>
      <c r="G38" s="285">
        <f>G32+G35</f>
        <v>-51.522769111111188</v>
      </c>
      <c r="H38" s="285">
        <f t="shared" ref="H38:AD38" ca="1" si="13">H32+H35</f>
        <v>-57.458597234673945</v>
      </c>
      <c r="I38" s="285">
        <f t="shared" ca="1" si="13"/>
        <v>-63.599442433502929</v>
      </c>
      <c r="J38" s="285">
        <f t="shared" ca="1" si="13"/>
        <v>-69.907749253791664</v>
      </c>
      <c r="K38" s="285">
        <f t="shared" ca="1" si="13"/>
        <v>-76.349518158764056</v>
      </c>
      <c r="L38" s="285">
        <f t="shared" ca="1" si="13"/>
        <v>-82.891372617321792</v>
      </c>
      <c r="M38" s="285">
        <f t="shared" ca="1" si="13"/>
        <v>-89.500508910829154</v>
      </c>
      <c r="N38" s="285">
        <f t="shared" ca="1" si="13"/>
        <v>-96.144647089434258</v>
      </c>
      <c r="O38" s="285">
        <f t="shared" ca="1" si="13"/>
        <v>-102.79198300815088</v>
      </c>
      <c r="P38" s="285">
        <f t="shared" ca="1" si="13"/>
        <v>-109.41114137479377</v>
      </c>
      <c r="Q38" s="285">
        <f t="shared" ca="1" si="13"/>
        <v>-115.97112974359814</v>
      </c>
      <c r="R38" s="285">
        <f t="shared" ca="1" si="13"/>
        <v>-122.44129339002633</v>
      </c>
      <c r="S38" s="285">
        <f t="shared" ca="1" si="13"/>
        <v>-117.45865599081961</v>
      </c>
      <c r="T38" s="285">
        <f t="shared" ca="1" si="13"/>
        <v>-107.26808076735293</v>
      </c>
      <c r="U38" s="285">
        <f t="shared" ca="1" si="13"/>
        <v>-96.942710830551249</v>
      </c>
      <c r="V38" s="285">
        <f t="shared" ca="1" si="13"/>
        <v>-86.306194549076793</v>
      </c>
      <c r="W38" s="285">
        <f t="shared" ca="1" si="13"/>
        <v>-75.329729601744887</v>
      </c>
      <c r="X38" s="285">
        <f t="shared" ca="1" si="13"/>
        <v>-63.984362419506439</v>
      </c>
      <c r="Y38" s="285">
        <f t="shared" ca="1" si="13"/>
        <v>-52.240972292282457</v>
      </c>
      <c r="Z38" s="285">
        <f t="shared" ca="1" si="13"/>
        <v>-40.07024017965697</v>
      </c>
      <c r="AA38" s="285">
        <f t="shared" ca="1" si="13"/>
        <v>-27.442617516520802</v>
      </c>
      <c r="AB38" s="285">
        <f t="shared" ca="1" si="13"/>
        <v>-14.32829498096882</v>
      </c>
      <c r="AC38" s="285">
        <f t="shared" ca="1" si="13"/>
        <v>-3.5600737018103468</v>
      </c>
      <c r="AD38" s="285">
        <f t="shared" ca="1" si="13"/>
        <v>5.667872758594676</v>
      </c>
    </row>
    <row r="39" spans="1:30" ht="15" hidden="1" customHeight="1" outlineLevel="1" x14ac:dyDescent="0.3">
      <c r="G39" s="279"/>
      <c r="H39" s="279"/>
      <c r="I39" s="279"/>
      <c r="J39" s="279"/>
      <c r="K39" s="279"/>
      <c r="L39" s="279"/>
      <c r="M39" s="279"/>
      <c r="N39" s="279"/>
      <c r="O39" s="279"/>
      <c r="P39" s="279"/>
      <c r="Q39" s="279"/>
      <c r="R39" s="279"/>
      <c r="S39" s="279"/>
      <c r="T39" s="279"/>
      <c r="U39" s="279"/>
      <c r="V39" s="279"/>
      <c r="W39" s="279"/>
      <c r="X39" s="279"/>
      <c r="Y39" s="279"/>
      <c r="Z39" s="279"/>
      <c r="AA39" s="279"/>
      <c r="AB39" s="279"/>
      <c r="AC39" s="279"/>
      <c r="AD39" s="279"/>
    </row>
    <row r="40" spans="1:30" ht="15" hidden="1" customHeight="1" outlineLevel="1" x14ac:dyDescent="0.3"/>
    <row r="41" spans="1:30" ht="15" customHeight="1" collapsed="1" x14ac:dyDescent="0.3">
      <c r="G41" s="149"/>
      <c r="H41" s="149"/>
      <c r="I41" s="149"/>
      <c r="J41" s="149"/>
      <c r="K41" s="149"/>
      <c r="L41" s="149"/>
      <c r="M41" s="149"/>
      <c r="N41" s="149"/>
      <c r="O41" s="149"/>
      <c r="P41" s="149"/>
      <c r="Q41" s="149"/>
      <c r="R41" s="149"/>
      <c r="S41" s="149"/>
      <c r="T41" s="149"/>
      <c r="U41" s="149"/>
      <c r="V41" s="149"/>
      <c r="W41" s="149"/>
      <c r="X41" s="149"/>
      <c r="Y41" s="149"/>
      <c r="Z41" s="149"/>
      <c r="AA41" s="149"/>
      <c r="AB41" s="149"/>
      <c r="AC41" s="149"/>
      <c r="AD41" s="149"/>
    </row>
    <row r="42" spans="1:30" ht="15" customHeight="1" x14ac:dyDescent="0.3">
      <c r="A42" s="149" t="s">
        <v>33</v>
      </c>
      <c r="B42" s="152" t="s">
        <v>157</v>
      </c>
      <c r="C42" s="153"/>
      <c r="D42" s="153"/>
      <c r="E42" s="153"/>
      <c r="F42" s="153"/>
      <c r="G42" s="153"/>
      <c r="H42" s="153"/>
      <c r="I42" s="153"/>
      <c r="J42" s="153"/>
      <c r="K42" s="153"/>
      <c r="L42" s="153"/>
      <c r="M42" s="153"/>
      <c r="N42" s="153"/>
      <c r="O42" s="153"/>
      <c r="P42" s="153"/>
      <c r="Q42" s="153"/>
      <c r="R42" s="153"/>
      <c r="S42" s="153"/>
      <c r="T42" s="153"/>
      <c r="U42" s="153"/>
      <c r="V42" s="153"/>
      <c r="W42" s="153"/>
      <c r="X42" s="153"/>
      <c r="Y42" s="153"/>
      <c r="Z42" s="153"/>
      <c r="AA42" s="153"/>
      <c r="AB42" s="153"/>
      <c r="AC42" s="153"/>
      <c r="AD42" s="153"/>
    </row>
    <row r="43" spans="1:30" ht="15" hidden="1" customHeight="1" outlineLevel="1" x14ac:dyDescent="0.3">
      <c r="G43" s="149"/>
      <c r="H43" s="149"/>
      <c r="I43" s="149"/>
      <c r="J43" s="149"/>
      <c r="K43" s="149"/>
      <c r="L43" s="149"/>
      <c r="M43" s="149"/>
      <c r="N43" s="149"/>
      <c r="O43" s="149"/>
      <c r="P43" s="149"/>
      <c r="Q43" s="149"/>
      <c r="R43" s="149"/>
      <c r="S43" s="149"/>
      <c r="T43" s="149"/>
      <c r="U43" s="149"/>
      <c r="V43" s="149"/>
      <c r="W43" s="149"/>
      <c r="X43" s="149"/>
      <c r="Y43" s="149"/>
      <c r="Z43" s="149"/>
      <c r="AA43" s="149"/>
      <c r="AB43" s="149"/>
      <c r="AC43" s="149"/>
      <c r="AD43" s="149"/>
    </row>
    <row r="44" spans="1:30" ht="15" hidden="1" customHeight="1" outlineLevel="1" x14ac:dyDescent="0.3">
      <c r="B44" s="155" t="s">
        <v>24</v>
      </c>
      <c r="G44" s="156">
        <f>G$5</f>
        <v>2026</v>
      </c>
      <c r="H44" s="157">
        <f t="shared" ref="H44:AD44" si="14">H$5</f>
        <v>2026</v>
      </c>
      <c r="I44" s="158">
        <f t="shared" si="14"/>
        <v>2026</v>
      </c>
      <c r="J44" s="157">
        <f t="shared" si="14"/>
        <v>2026</v>
      </c>
      <c r="K44" s="157">
        <f t="shared" si="14"/>
        <v>2026</v>
      </c>
      <c r="L44" s="158">
        <f t="shared" si="14"/>
        <v>2026</v>
      </c>
      <c r="M44" s="157">
        <f t="shared" si="14"/>
        <v>2026</v>
      </c>
      <c r="N44" s="157">
        <f t="shared" si="14"/>
        <v>2026</v>
      </c>
      <c r="O44" s="158">
        <f t="shared" si="14"/>
        <v>2026</v>
      </c>
      <c r="P44" s="157">
        <f t="shared" si="14"/>
        <v>2026</v>
      </c>
      <c r="Q44" s="157">
        <f t="shared" si="14"/>
        <v>2026</v>
      </c>
      <c r="R44" s="159">
        <f t="shared" si="14"/>
        <v>2026</v>
      </c>
      <c r="S44" s="157">
        <f t="shared" si="14"/>
        <v>2027</v>
      </c>
      <c r="T44" s="157">
        <f t="shared" si="14"/>
        <v>2027</v>
      </c>
      <c r="U44" s="158">
        <f t="shared" si="14"/>
        <v>2027</v>
      </c>
      <c r="V44" s="157">
        <f t="shared" si="14"/>
        <v>2027</v>
      </c>
      <c r="W44" s="157">
        <f t="shared" si="14"/>
        <v>2027</v>
      </c>
      <c r="X44" s="158">
        <f t="shared" si="14"/>
        <v>2027</v>
      </c>
      <c r="Y44" s="157">
        <f t="shared" si="14"/>
        <v>2027</v>
      </c>
      <c r="Z44" s="157">
        <f t="shared" si="14"/>
        <v>2027</v>
      </c>
      <c r="AA44" s="158">
        <f t="shared" si="14"/>
        <v>2027</v>
      </c>
      <c r="AB44" s="157">
        <f t="shared" si="14"/>
        <v>2027</v>
      </c>
      <c r="AC44" s="157">
        <f t="shared" si="14"/>
        <v>2027</v>
      </c>
      <c r="AD44" s="159">
        <f t="shared" si="14"/>
        <v>2027</v>
      </c>
    </row>
    <row r="45" spans="1:30" ht="15" hidden="1" customHeight="1" outlineLevel="1" x14ac:dyDescent="0.3">
      <c r="B45" s="155" t="str" cm="1">
        <f t="array" ref="B45">CONCATENATE("Model Running: ",INDEX(Inputs!$B$15:$B$17,Inputs!$D$8)," Drivers")</f>
        <v>Model Running: Base Case Drivers</v>
      </c>
      <c r="G45" s="161">
        <f>G$6</f>
        <v>1</v>
      </c>
      <c r="H45" s="162">
        <f t="shared" ref="H45:AD45" si="15">H$6</f>
        <v>1</v>
      </c>
      <c r="I45" s="163">
        <f t="shared" si="15"/>
        <v>1</v>
      </c>
      <c r="J45" s="162">
        <f t="shared" si="15"/>
        <v>2</v>
      </c>
      <c r="K45" s="162">
        <f t="shared" si="15"/>
        <v>2</v>
      </c>
      <c r="L45" s="163">
        <f t="shared" si="15"/>
        <v>2</v>
      </c>
      <c r="M45" s="162">
        <f t="shared" si="15"/>
        <v>3</v>
      </c>
      <c r="N45" s="162">
        <f t="shared" si="15"/>
        <v>3</v>
      </c>
      <c r="O45" s="163">
        <f t="shared" si="15"/>
        <v>3</v>
      </c>
      <c r="P45" s="162">
        <f t="shared" si="15"/>
        <v>4</v>
      </c>
      <c r="Q45" s="162">
        <f t="shared" si="15"/>
        <v>4</v>
      </c>
      <c r="R45" s="164">
        <f t="shared" si="15"/>
        <v>4</v>
      </c>
      <c r="S45" s="162">
        <f t="shared" si="15"/>
        <v>1</v>
      </c>
      <c r="T45" s="162">
        <f t="shared" si="15"/>
        <v>1</v>
      </c>
      <c r="U45" s="163">
        <f t="shared" si="15"/>
        <v>1</v>
      </c>
      <c r="V45" s="162">
        <f t="shared" si="15"/>
        <v>2</v>
      </c>
      <c r="W45" s="162">
        <f t="shared" si="15"/>
        <v>2</v>
      </c>
      <c r="X45" s="163">
        <f t="shared" si="15"/>
        <v>2</v>
      </c>
      <c r="Y45" s="162">
        <f t="shared" si="15"/>
        <v>3</v>
      </c>
      <c r="Z45" s="162">
        <f t="shared" si="15"/>
        <v>3</v>
      </c>
      <c r="AA45" s="163">
        <f t="shared" si="15"/>
        <v>3</v>
      </c>
      <c r="AB45" s="162">
        <f t="shared" si="15"/>
        <v>4</v>
      </c>
      <c r="AC45" s="162">
        <f t="shared" si="15"/>
        <v>4</v>
      </c>
      <c r="AD45" s="164">
        <f t="shared" si="15"/>
        <v>4</v>
      </c>
    </row>
    <row r="46" spans="1:30" ht="15" hidden="1" customHeight="1" outlineLevel="1" x14ac:dyDescent="0.3">
      <c r="G46" s="166">
        <f>G$7</f>
        <v>46053</v>
      </c>
      <c r="H46" s="167">
        <f t="shared" ref="H46:AD46" si="16">H$7</f>
        <v>46081</v>
      </c>
      <c r="I46" s="168">
        <f t="shared" si="16"/>
        <v>46112</v>
      </c>
      <c r="J46" s="167">
        <f t="shared" si="16"/>
        <v>46142</v>
      </c>
      <c r="K46" s="167">
        <f t="shared" si="16"/>
        <v>46173</v>
      </c>
      <c r="L46" s="168">
        <f t="shared" si="16"/>
        <v>46203</v>
      </c>
      <c r="M46" s="167">
        <f t="shared" si="16"/>
        <v>46234</v>
      </c>
      <c r="N46" s="167">
        <f t="shared" si="16"/>
        <v>46265</v>
      </c>
      <c r="O46" s="168">
        <f t="shared" si="16"/>
        <v>46295</v>
      </c>
      <c r="P46" s="167">
        <f t="shared" si="16"/>
        <v>46326</v>
      </c>
      <c r="Q46" s="167">
        <f t="shared" si="16"/>
        <v>46356</v>
      </c>
      <c r="R46" s="169">
        <f t="shared" si="16"/>
        <v>46387</v>
      </c>
      <c r="S46" s="167">
        <f t="shared" si="16"/>
        <v>46418</v>
      </c>
      <c r="T46" s="167">
        <f t="shared" si="16"/>
        <v>46446</v>
      </c>
      <c r="U46" s="168">
        <f t="shared" si="16"/>
        <v>46477</v>
      </c>
      <c r="V46" s="167">
        <f t="shared" si="16"/>
        <v>46507</v>
      </c>
      <c r="W46" s="167">
        <f t="shared" si="16"/>
        <v>46538</v>
      </c>
      <c r="X46" s="168">
        <f t="shared" si="16"/>
        <v>46568</v>
      </c>
      <c r="Y46" s="167">
        <f t="shared" si="16"/>
        <v>46599</v>
      </c>
      <c r="Z46" s="167">
        <f t="shared" si="16"/>
        <v>46630</v>
      </c>
      <c r="AA46" s="168">
        <f t="shared" si="16"/>
        <v>46660</v>
      </c>
      <c r="AB46" s="167">
        <f t="shared" si="16"/>
        <v>46691</v>
      </c>
      <c r="AC46" s="167">
        <f t="shared" si="16"/>
        <v>46721</v>
      </c>
      <c r="AD46" s="169">
        <f t="shared" si="16"/>
        <v>46752</v>
      </c>
    </row>
    <row r="47" spans="1:30" ht="15" hidden="1" customHeight="1" outlineLevel="1" x14ac:dyDescent="0.3">
      <c r="G47" s="278"/>
      <c r="H47" s="278"/>
      <c r="I47" s="278"/>
      <c r="J47" s="278"/>
      <c r="K47" s="278"/>
      <c r="L47" s="278"/>
      <c r="M47" s="278"/>
      <c r="N47" s="278"/>
      <c r="O47" s="278"/>
      <c r="P47" s="278"/>
      <c r="Q47" s="278"/>
      <c r="R47" s="278"/>
      <c r="S47" s="278"/>
      <c r="T47" s="278"/>
      <c r="U47" s="278"/>
      <c r="V47" s="278"/>
      <c r="W47" s="278"/>
      <c r="X47" s="278"/>
      <c r="Y47" s="278"/>
      <c r="Z47" s="278"/>
      <c r="AA47" s="278"/>
      <c r="AB47" s="278"/>
      <c r="AC47" s="278"/>
      <c r="AD47" s="278"/>
    </row>
    <row r="48" spans="1:30" ht="15" hidden="1" customHeight="1" outlineLevel="1" x14ac:dyDescent="0.3">
      <c r="G48" s="279"/>
      <c r="H48" s="279"/>
      <c r="I48" s="279"/>
      <c r="J48" s="279"/>
      <c r="K48" s="279"/>
      <c r="L48" s="279"/>
      <c r="M48" s="279"/>
      <c r="N48" s="279"/>
      <c r="O48" s="279"/>
      <c r="P48" s="279"/>
      <c r="Q48" s="279"/>
      <c r="R48" s="279"/>
      <c r="S48" s="279"/>
      <c r="T48" s="279"/>
      <c r="U48" s="279"/>
      <c r="V48" s="279"/>
      <c r="W48" s="279"/>
      <c r="X48" s="279"/>
      <c r="Y48" s="279"/>
      <c r="Z48" s="279"/>
      <c r="AA48" s="279"/>
      <c r="AB48" s="279"/>
      <c r="AC48" s="279"/>
      <c r="AD48" s="279"/>
    </row>
    <row r="49" spans="2:30" ht="15" hidden="1" customHeight="1" outlineLevel="1" x14ac:dyDescent="0.3">
      <c r="B49" s="192" t="s">
        <v>196</v>
      </c>
    </row>
    <row r="50" spans="2:30" ht="15" hidden="1" customHeight="1" outlineLevel="1" x14ac:dyDescent="0.3">
      <c r="B50" s="174" t="s">
        <v>168</v>
      </c>
      <c r="G50" s="196">
        <f>G38</f>
        <v>-51.522769111111188</v>
      </c>
      <c r="H50" s="196">
        <f t="shared" ref="H50:AD50" ca="1" si="17">H38</f>
        <v>-57.458597234673945</v>
      </c>
      <c r="I50" s="196">
        <f t="shared" ca="1" si="17"/>
        <v>-63.599442433502929</v>
      </c>
      <c r="J50" s="196">
        <f t="shared" ca="1" si="17"/>
        <v>-69.907749253791664</v>
      </c>
      <c r="K50" s="196">
        <f t="shared" ca="1" si="17"/>
        <v>-76.349518158764056</v>
      </c>
      <c r="L50" s="196">
        <f t="shared" ca="1" si="17"/>
        <v>-82.891372617321792</v>
      </c>
      <c r="M50" s="196">
        <f t="shared" ca="1" si="17"/>
        <v>-89.500508910829154</v>
      </c>
      <c r="N50" s="196">
        <f t="shared" ca="1" si="17"/>
        <v>-96.144647089434258</v>
      </c>
      <c r="O50" s="196">
        <f t="shared" ca="1" si="17"/>
        <v>-102.79198300815088</v>
      </c>
      <c r="P50" s="196">
        <f t="shared" ca="1" si="17"/>
        <v>-109.41114137479377</v>
      </c>
      <c r="Q50" s="196">
        <f t="shared" ca="1" si="17"/>
        <v>-115.97112974359814</v>
      </c>
      <c r="R50" s="196">
        <f t="shared" ca="1" si="17"/>
        <v>-122.44129339002633</v>
      </c>
      <c r="S50" s="196">
        <f t="shared" ca="1" si="17"/>
        <v>-117.45865599081961</v>
      </c>
      <c r="T50" s="196">
        <f t="shared" ca="1" si="17"/>
        <v>-107.26808076735293</v>
      </c>
      <c r="U50" s="196">
        <f t="shared" ca="1" si="17"/>
        <v>-96.942710830551249</v>
      </c>
      <c r="V50" s="196">
        <f t="shared" ca="1" si="17"/>
        <v>-86.306194549076793</v>
      </c>
      <c r="W50" s="196">
        <f t="shared" ca="1" si="17"/>
        <v>-75.329729601744887</v>
      </c>
      <c r="X50" s="196">
        <f t="shared" ca="1" si="17"/>
        <v>-63.984362419506439</v>
      </c>
      <c r="Y50" s="196">
        <f t="shared" ca="1" si="17"/>
        <v>-52.240972292282457</v>
      </c>
      <c r="Z50" s="196">
        <f t="shared" ca="1" si="17"/>
        <v>-40.07024017965697</v>
      </c>
      <c r="AA50" s="196">
        <f t="shared" ca="1" si="17"/>
        <v>-27.442617516520802</v>
      </c>
      <c r="AB50" s="196">
        <f t="shared" ca="1" si="17"/>
        <v>-14.32829498096882</v>
      </c>
      <c r="AC50" s="196">
        <f t="shared" ca="1" si="17"/>
        <v>-3.5600737018103468</v>
      </c>
      <c r="AD50" s="196">
        <f t="shared" ca="1" si="17"/>
        <v>5.667872758594676</v>
      </c>
    </row>
    <row r="51" spans="2:30" ht="15" hidden="1" customHeight="1" outlineLevel="1" x14ac:dyDescent="0.3">
      <c r="B51" s="174" t="s">
        <v>163</v>
      </c>
      <c r="G51" s="196">
        <f>-G27</f>
        <v>15.785123777777779</v>
      </c>
      <c r="H51" s="196">
        <f t="shared" ref="H51:AD51" si="18">-H27</f>
        <v>16.303816139472978</v>
      </c>
      <c r="I51" s="196">
        <f t="shared" si="18"/>
        <v>16.833716284337211</v>
      </c>
      <c r="J51" s="196">
        <f t="shared" si="18"/>
        <v>17.374712761775061</v>
      </c>
      <c r="K51" s="196">
        <f t="shared" si="18"/>
        <v>17.926720692183444</v>
      </c>
      <c r="L51" s="196">
        <f t="shared" si="18"/>
        <v>18.489681250533941</v>
      </c>
      <c r="M51" s="196">
        <f t="shared" si="18"/>
        <v>19.063561189478971</v>
      </c>
      <c r="N51" s="196">
        <f t="shared" si="18"/>
        <v>19.648352401041706</v>
      </c>
      <c r="O51" s="196">
        <f t="shared" si="18"/>
        <v>20.244071516004748</v>
      </c>
      <c r="P51" s="196">
        <f t="shared" si="18"/>
        <v>20.850759540166408</v>
      </c>
      <c r="Q51" s="196">
        <f t="shared" si="18"/>
        <v>21.468481526685636</v>
      </c>
      <c r="R51" s="196">
        <f t="shared" si="18"/>
        <v>22.097326283787538</v>
      </c>
      <c r="S51" s="196">
        <f t="shared" si="18"/>
        <v>22.676125460797422</v>
      </c>
      <c r="T51" s="196">
        <f t="shared" si="18"/>
        <v>23.267863514381194</v>
      </c>
      <c r="U51" s="196">
        <f t="shared" si="18"/>
        <v>23.872659141498069</v>
      </c>
      <c r="V51" s="196">
        <f t="shared" si="18"/>
        <v>24.490649572029049</v>
      </c>
      <c r="W51" s="196">
        <f t="shared" si="18"/>
        <v>25.121990409573073</v>
      </c>
      <c r="X51" s="196">
        <f t="shared" si="18"/>
        <v>25.766855495636491</v>
      </c>
      <c r="Y51" s="196">
        <f t="shared" si="18"/>
        <v>26.425436796763378</v>
      </c>
      <c r="Z51" s="196">
        <f t="shared" si="18"/>
        <v>27.097944314184907</v>
      </c>
      <c r="AA51" s="196">
        <f t="shared" si="18"/>
        <v>27.784606015596381</v>
      </c>
      <c r="AB51" s="196">
        <f t="shared" si="18"/>
        <v>28.485667788699828</v>
      </c>
      <c r="AC51" s="196">
        <f t="shared" si="18"/>
        <v>29.20139341617849</v>
      </c>
      <c r="AD51" s="196">
        <f t="shared" si="18"/>
        <v>29.932064571797632</v>
      </c>
    </row>
    <row r="52" spans="2:30" ht="15" hidden="1" customHeight="1" outlineLevel="1" x14ac:dyDescent="0.3">
      <c r="B52" s="174" t="s">
        <v>197</v>
      </c>
    </row>
    <row r="53" spans="2:30" ht="15" hidden="1" customHeight="1" outlineLevel="1" x14ac:dyDescent="0.3">
      <c r="B53" s="190" t="s">
        <v>198</v>
      </c>
      <c r="G53" s="196">
        <f>-G387</f>
        <v>-21.663560000000075</v>
      </c>
      <c r="H53" s="196">
        <f t="shared" ref="H53:AD53" si="19">-H387</f>
        <v>-21.104232753071869</v>
      </c>
      <c r="I53" s="196">
        <f t="shared" si="19"/>
        <v>-20.846476694400849</v>
      </c>
      <c r="J53" s="196">
        <f t="shared" si="19"/>
        <v>-20.639178586928665</v>
      </c>
      <c r="K53" s="196">
        <f t="shared" si="19"/>
        <v>-20.481302525190017</v>
      </c>
      <c r="L53" s="196">
        <f t="shared" si="19"/>
        <v>-20.37188797232966</v>
      </c>
      <c r="M53" s="196">
        <f t="shared" si="19"/>
        <v>-20.310047905839838</v>
      </c>
      <c r="N53" s="196">
        <f t="shared" si="19"/>
        <v>-20.29496706892769</v>
      </c>
      <c r="O53" s="196">
        <f t="shared" si="19"/>
        <v>-20.325900324567556</v>
      </c>
      <c r="P53" s="196">
        <f t="shared" si="19"/>
        <v>-20.402171109433539</v>
      </c>
      <c r="Q53" s="196">
        <f t="shared" si="19"/>
        <v>-20.523169985069444</v>
      </c>
      <c r="R53" s="196">
        <f t="shared" si="19"/>
        <v>-20.688353283780998</v>
      </c>
      <c r="S53" s="196">
        <f t="shared" si="19"/>
        <v>-26.533717610886242</v>
      </c>
      <c r="T53" s="196">
        <f t="shared" si="19"/>
        <v>-26.740344919365725</v>
      </c>
      <c r="U53" s="196">
        <f t="shared" si="19"/>
        <v>-26.98565196841605</v>
      </c>
      <c r="V53" s="196">
        <f t="shared" si="19"/>
        <v>-27.269260389155534</v>
      </c>
      <c r="W53" s="196">
        <f t="shared" si="19"/>
        <v>-27.590841160275431</v>
      </c>
      <c r="X53" s="196">
        <f t="shared" si="19"/>
        <v>-27.950113606763125</v>
      </c>
      <c r="Y53" s="196">
        <f t="shared" si="19"/>
        <v>-28.346844464502055</v>
      </c>
      <c r="Z53" s="196">
        <f t="shared" si="19"/>
        <v>-28.78084700891327</v>
      </c>
      <c r="AA53" s="196">
        <f t="shared" si="19"/>
        <v>-29.251980245896675</v>
      </c>
      <c r="AB53" s="196">
        <f t="shared" si="19"/>
        <v>-29.760148163406711</v>
      </c>
      <c r="AC53" s="196">
        <f t="shared" si="19"/>
        <v>-30.30529904211653</v>
      </c>
      <c r="AD53" s="196">
        <f t="shared" si="19"/>
        <v>-30.887424823659785</v>
      </c>
    </row>
    <row r="54" spans="2:30" ht="15" hidden="1" customHeight="1" outlineLevel="1" x14ac:dyDescent="0.3">
      <c r="B54" s="190" t="s">
        <v>199</v>
      </c>
      <c r="G54" s="196">
        <f t="shared" ref="G54:AD54" si="20">G388</f>
        <v>12.251917999999989</v>
      </c>
      <c r="H54" s="196">
        <f t="shared" si="20"/>
        <v>8.8842012073416186</v>
      </c>
      <c r="I54" s="196">
        <f t="shared" si="20"/>
        <v>8.7756942213526941</v>
      </c>
      <c r="J54" s="196">
        <f t="shared" si="20"/>
        <v>8.6884284051424743</v>
      </c>
      <c r="K54" s="196">
        <f t="shared" si="20"/>
        <v>8.6219676759267827</v>
      </c>
      <c r="L54" s="196">
        <f t="shared" si="20"/>
        <v>8.5759076786742412</v>
      </c>
      <c r="M54" s="196">
        <f t="shared" si="20"/>
        <v>8.5498750055228356</v>
      </c>
      <c r="N54" s="196">
        <f t="shared" si="20"/>
        <v>8.5435264596616207</v>
      </c>
      <c r="O54" s="196">
        <f t="shared" si="20"/>
        <v>8.5565483624389458</v>
      </c>
      <c r="P54" s="196">
        <f t="shared" si="20"/>
        <v>8.5886559025193492</v>
      </c>
      <c r="Q54" s="196">
        <f t="shared" si="20"/>
        <v>8.639592525972887</v>
      </c>
      <c r="R54" s="196">
        <f t="shared" si="20"/>
        <v>8.7091293662369935</v>
      </c>
      <c r="S54" s="196">
        <f t="shared" si="20"/>
        <v>7.6970441257493007</v>
      </c>
      <c r="T54" s="196">
        <f t="shared" si="20"/>
        <v>7.6287610383354263</v>
      </c>
      <c r="U54" s="196">
        <f t="shared" si="20"/>
        <v>7.5746243287023844</v>
      </c>
      <c r="V54" s="196">
        <f t="shared" si="20"/>
        <v>7.5340299256338312</v>
      </c>
      <c r="W54" s="196">
        <f t="shared" si="20"/>
        <v>7.5063993077648092</v>
      </c>
      <c r="X54" s="196">
        <f t="shared" si="20"/>
        <v>7.491178239916735</v>
      </c>
      <c r="Y54" s="196">
        <f t="shared" si="20"/>
        <v>7.4878355561714898</v>
      </c>
      <c r="Z54" s="196">
        <f t="shared" si="20"/>
        <v>7.4958619874290662</v>
      </c>
      <c r="AA54" s="196">
        <f t="shared" si="20"/>
        <v>7.5147690312699069</v>
      </c>
      <c r="AB54" s="196">
        <f t="shared" si="20"/>
        <v>7.5440878620278227</v>
      </c>
      <c r="AC54" s="196">
        <f t="shared" si="20"/>
        <v>11.877722043926383</v>
      </c>
      <c r="AD54" s="196">
        <f t="shared" si="20"/>
        <v>12.105877793789091</v>
      </c>
    </row>
    <row r="55" spans="2:30" ht="15" hidden="1" customHeight="1" outlineLevel="1" x14ac:dyDescent="0.3">
      <c r="B55" s="190" t="s">
        <v>200</v>
      </c>
      <c r="G55" s="286">
        <f>G389</f>
        <v>0.60733333333333661</v>
      </c>
      <c r="H55" s="286">
        <f t="shared" ref="H55:AD55" si="21">H389</f>
        <v>0.9963333333333324</v>
      </c>
      <c r="I55" s="286">
        <f t="shared" si="21"/>
        <v>0.9963333333333324</v>
      </c>
      <c r="J55" s="286">
        <f t="shared" si="21"/>
        <v>0.99633333333333951</v>
      </c>
      <c r="K55" s="286">
        <f t="shared" si="21"/>
        <v>0.9963333333333324</v>
      </c>
      <c r="L55" s="286">
        <f t="shared" si="21"/>
        <v>0.9963333333333324</v>
      </c>
      <c r="M55" s="286">
        <f t="shared" si="21"/>
        <v>0.9963333333333324</v>
      </c>
      <c r="N55" s="286">
        <f t="shared" si="21"/>
        <v>0.9963333333333324</v>
      </c>
      <c r="O55" s="286">
        <f t="shared" si="21"/>
        <v>0.9963333333333324</v>
      </c>
      <c r="P55" s="286">
        <f t="shared" si="21"/>
        <v>0.9963333333333324</v>
      </c>
      <c r="Q55" s="286">
        <f t="shared" si="21"/>
        <v>0.99633333333333951</v>
      </c>
      <c r="R55" s="286">
        <f t="shared" si="21"/>
        <v>0.9963333333333324</v>
      </c>
      <c r="S55" s="286">
        <f t="shared" si="21"/>
        <v>0.74216666666665532</v>
      </c>
      <c r="T55" s="286">
        <f t="shared" si="21"/>
        <v>0.49537083333333243</v>
      </c>
      <c r="U55" s="286">
        <f t="shared" si="21"/>
        <v>0.50274166666666531</v>
      </c>
      <c r="V55" s="286">
        <f t="shared" si="21"/>
        <v>0.50274166666667952</v>
      </c>
      <c r="W55" s="286">
        <f t="shared" si="21"/>
        <v>0.5027416666666582</v>
      </c>
      <c r="X55" s="286">
        <f t="shared" si="21"/>
        <v>0.50274166666667242</v>
      </c>
      <c r="Y55" s="286">
        <f t="shared" si="21"/>
        <v>0.50274166666666531</v>
      </c>
      <c r="Z55" s="286">
        <f t="shared" si="21"/>
        <v>0.50274166666666531</v>
      </c>
      <c r="AA55" s="286">
        <f t="shared" si="21"/>
        <v>0.50274166666667242</v>
      </c>
      <c r="AB55" s="286">
        <f t="shared" si="21"/>
        <v>0.50274166666666531</v>
      </c>
      <c r="AC55" s="286">
        <f t="shared" si="21"/>
        <v>0.50274166666667242</v>
      </c>
      <c r="AD55" s="286">
        <f t="shared" si="21"/>
        <v>0.5027416666666511</v>
      </c>
    </row>
    <row r="56" spans="2:30" ht="15" hidden="1" customHeight="1" outlineLevel="1" x14ac:dyDescent="0.3">
      <c r="B56" s="190" t="s">
        <v>201</v>
      </c>
      <c r="G56" s="286">
        <f>-G390</f>
        <v>0.43388600000000022</v>
      </c>
      <c r="H56" s="286">
        <f t="shared" ref="H56:AD56" si="22">-H390</f>
        <v>-0.10211725525680038</v>
      </c>
      <c r="I56" s="286">
        <f t="shared" si="22"/>
        <v>-0.100870048521295</v>
      </c>
      <c r="J56" s="286">
        <f t="shared" si="22"/>
        <v>-9.9866993162557982E-2</v>
      </c>
      <c r="K56" s="286">
        <f t="shared" si="22"/>
        <v>-9.9103076734790463E-2</v>
      </c>
      <c r="L56" s="286">
        <f t="shared" si="22"/>
        <v>-9.8573651479013868E-2</v>
      </c>
      <c r="M56" s="286">
        <f t="shared" si="22"/>
        <v>-9.8274425350837191E-2</v>
      </c>
      <c r="N56" s="286">
        <f t="shared" si="22"/>
        <v>-9.8201453559329188E-2</v>
      </c>
      <c r="O56" s="286">
        <f t="shared" si="22"/>
        <v>-9.8351130602746473E-2</v>
      </c>
      <c r="P56" s="286">
        <f t="shared" si="22"/>
        <v>-9.8720182787578992E-2</v>
      </c>
      <c r="Q56" s="286">
        <f t="shared" si="22"/>
        <v>-9.9305661218078711E-2</v>
      </c>
      <c r="R56" s="286">
        <f t="shared" si="22"/>
        <v>-0.10010493524410435</v>
      </c>
      <c r="S56" s="286">
        <f t="shared" si="22"/>
        <v>-7.0509038480719433E-2</v>
      </c>
      <c r="T56" s="286">
        <f t="shared" si="22"/>
        <v>-6.8921072723099996E-2</v>
      </c>
      <c r="U56" s="286">
        <f t="shared" si="22"/>
        <v>-6.7484657912737944E-2</v>
      </c>
      <c r="V56" s="286">
        <f t="shared" si="22"/>
        <v>-6.6190550063745413E-2</v>
      </c>
      <c r="W56" s="286">
        <f t="shared" si="22"/>
        <v>-6.5029823570748491E-2</v>
      </c>
      <c r="X56" s="286">
        <f t="shared" si="22"/>
        <v>-6.3993852327971723E-2</v>
      </c>
      <c r="Y56" s="286">
        <f t="shared" si="22"/>
        <v>-6.3074291483916411E-2</v>
      </c>
      <c r="Z56" s="286">
        <f t="shared" si="22"/>
        <v>-6.2263059797957432E-2</v>
      </c>
      <c r="AA56" s="286">
        <f t="shared" si="22"/>
        <v>-6.1552322566392093E-2</v>
      </c>
      <c r="AB56" s="286">
        <f t="shared" si="22"/>
        <v>-6.0934475086592776E-2</v>
      </c>
      <c r="AC56" s="286">
        <f t="shared" si="22"/>
        <v>-0.13197468937695866</v>
      </c>
      <c r="AD56" s="286">
        <f t="shared" si="22"/>
        <v>-0.13450975326432513</v>
      </c>
    </row>
    <row r="57" spans="2:30" ht="15" hidden="1" customHeight="1" outlineLevel="1" x14ac:dyDescent="0.3">
      <c r="B57" s="190" t="s">
        <v>255</v>
      </c>
      <c r="G57" s="287">
        <f>G414</f>
        <v>66.635240000000067</v>
      </c>
      <c r="H57" s="287">
        <f t="shared" ref="H57:AD57" si="23">H414</f>
        <v>67.397388469487396</v>
      </c>
      <c r="I57" s="287">
        <f t="shared" si="23"/>
        <v>66.574232024054254</v>
      </c>
      <c r="J57" s="287">
        <f t="shared" si="23"/>
        <v>65.912215487288904</v>
      </c>
      <c r="K57" s="287">
        <f t="shared" si="23"/>
        <v>65.4080306449614</v>
      </c>
      <c r="L57" s="287">
        <f t="shared" si="23"/>
        <v>65.05860997614991</v>
      </c>
      <c r="M57" s="287">
        <f t="shared" si="23"/>
        <v>64.861120731552546</v>
      </c>
      <c r="N57" s="287">
        <f t="shared" si="23"/>
        <v>64.812959349156699</v>
      </c>
      <c r="O57" s="287">
        <f t="shared" si="23"/>
        <v>64.91174619781259</v>
      </c>
      <c r="P57" s="287">
        <f t="shared" si="23"/>
        <v>65.155320639802994</v>
      </c>
      <c r="Q57" s="287">
        <f t="shared" si="23"/>
        <v>65.541736403931736</v>
      </c>
      <c r="R57" s="287">
        <f t="shared" si="23"/>
        <v>66.069257261106941</v>
      </c>
      <c r="S57" s="287">
        <f t="shared" si="23"/>
        <v>84.736711079927318</v>
      </c>
      <c r="T57" s="287">
        <f t="shared" si="23"/>
        <v>85.396585387651612</v>
      </c>
      <c r="U57" s="287">
        <f t="shared" si="23"/>
        <v>86.179985318490253</v>
      </c>
      <c r="V57" s="287">
        <f t="shared" si="23"/>
        <v>87.085702533109725</v>
      </c>
      <c r="W57" s="287">
        <f t="shared" si="23"/>
        <v>88.11268628604148</v>
      </c>
      <c r="X57" s="287">
        <f t="shared" si="23"/>
        <v>89.260040228049547</v>
      </c>
      <c r="Y57" s="287">
        <f t="shared" si="23"/>
        <v>90.527019418892451</v>
      </c>
      <c r="Z57" s="287">
        <f t="shared" si="23"/>
        <v>91.913027544594115</v>
      </c>
      <c r="AA57" s="287">
        <f t="shared" si="23"/>
        <v>93.417614333670826</v>
      </c>
      <c r="AB57" s="287">
        <f t="shared" si="23"/>
        <v>95.040473167008713</v>
      </c>
      <c r="AC57" s="287">
        <f t="shared" si="23"/>
        <v>96.781438876436368</v>
      </c>
      <c r="AD57" s="287">
        <f t="shared" si="23"/>
        <v>98.640485727170926</v>
      </c>
    </row>
    <row r="58" spans="2:30" ht="15" hidden="1" customHeight="1" outlineLevel="1" x14ac:dyDescent="0.3">
      <c r="B58" s="174" t="s">
        <v>169</v>
      </c>
      <c r="G58" s="196">
        <f>SUM(G50:G57)</f>
        <v>22.527171999999908</v>
      </c>
      <c r="H58" s="196">
        <f t="shared" ref="H58:AD58" ca="1" si="24">SUM(H50:H57)</f>
        <v>14.91679190663271</v>
      </c>
      <c r="I58" s="196">
        <f t="shared" ca="1" si="24"/>
        <v>8.6331866866524223</v>
      </c>
      <c r="J58" s="196">
        <f t="shared" ca="1" si="24"/>
        <v>2.3248951536568896</v>
      </c>
      <c r="K58" s="196">
        <f t="shared" ca="1" si="24"/>
        <v>-3.9768714142839201</v>
      </c>
      <c r="L58" s="196">
        <f t="shared" ca="1" si="24"/>
        <v>-10.241302002439042</v>
      </c>
      <c r="M58" s="196">
        <f t="shared" ca="1" si="24"/>
        <v>-16.437940982132147</v>
      </c>
      <c r="N58" s="196">
        <f t="shared" ca="1" si="24"/>
        <v>-22.536644068727909</v>
      </c>
      <c r="O58" s="196">
        <f t="shared" ca="1" si="24"/>
        <v>-28.507535053731559</v>
      </c>
      <c r="P58" s="196">
        <f t="shared" ca="1" si="24"/>
        <v>-34.320963251192794</v>
      </c>
      <c r="Q58" s="196">
        <f t="shared" ca="1" si="24"/>
        <v>-39.947461599962068</v>
      </c>
      <c r="R58" s="196">
        <f t="shared" ca="1" si="24"/>
        <v>-45.357705364586621</v>
      </c>
      <c r="S58" s="196">
        <f t="shared" ca="1" si="24"/>
        <v>-28.210835307045883</v>
      </c>
      <c r="T58" s="196">
        <f t="shared" ca="1" si="24"/>
        <v>-17.288765985740184</v>
      </c>
      <c r="U58" s="196">
        <f t="shared" ca="1" si="24"/>
        <v>-5.8658370015226637</v>
      </c>
      <c r="V58" s="196">
        <f t="shared" ca="1" si="24"/>
        <v>5.9714782091431999</v>
      </c>
      <c r="W58" s="196">
        <f t="shared" ca="1" si="24"/>
        <v>18.258217084454955</v>
      </c>
      <c r="X58" s="196">
        <f t="shared" ca="1" si="24"/>
        <v>31.022345751671907</v>
      </c>
      <c r="Y58" s="196">
        <f t="shared" ca="1" si="24"/>
        <v>44.292142390225557</v>
      </c>
      <c r="Z58" s="196">
        <f t="shared" ca="1" si="24"/>
        <v>58.096225264506558</v>
      </c>
      <c r="AA58" s="196">
        <f t="shared" ca="1" si="24"/>
        <v>72.463580962219922</v>
      </c>
      <c r="AB58" s="196">
        <f t="shared" ca="1" si="24"/>
        <v>87.4235928649409</v>
      </c>
      <c r="AC58" s="196">
        <f t="shared" ca="1" si="24"/>
        <v>104.36594856990408</v>
      </c>
      <c r="AD58" s="196">
        <f t="shared" ca="1" si="24"/>
        <v>115.82710794109487</v>
      </c>
    </row>
    <row r="59" spans="2:30" ht="15" hidden="1" customHeight="1" outlineLevel="1" x14ac:dyDescent="0.3">
      <c r="B59" s="174"/>
    </row>
    <row r="60" spans="2:30" ht="15" hidden="1" customHeight="1" outlineLevel="1" x14ac:dyDescent="0.3">
      <c r="B60" s="174"/>
    </row>
    <row r="61" spans="2:30" ht="15" hidden="1" customHeight="1" outlineLevel="1" x14ac:dyDescent="0.3">
      <c r="B61" s="192" t="s">
        <v>202</v>
      </c>
    </row>
    <row r="62" spans="2:30" ht="15" hidden="1" customHeight="1" outlineLevel="1" x14ac:dyDescent="0.3">
      <c r="B62" s="174" t="s">
        <v>170</v>
      </c>
      <c r="G62" s="287">
        <f>-G441</f>
        <v>-18.264455999999999</v>
      </c>
      <c r="H62" s="287">
        <f t="shared" ref="H62:AD62" si="25">-H441</f>
        <v>-18.672925021027201</v>
      </c>
      <c r="I62" s="287">
        <f t="shared" si="25"/>
        <v>-19.076405215112377</v>
      </c>
      <c r="J62" s="287">
        <f t="shared" si="25"/>
        <v>-19.475873187762609</v>
      </c>
      <c r="K62" s="287">
        <f t="shared" si="25"/>
        <v>-19.872285494701774</v>
      </c>
      <c r="L62" s="287">
        <f t="shared" si="25"/>
        <v>-20.26658010061783</v>
      </c>
      <c r="M62" s="287">
        <f t="shared" si="25"/>
        <v>-20.659677802021175</v>
      </c>
      <c r="N62" s="287">
        <f t="shared" si="25"/>
        <v>-21.052483616258488</v>
      </c>
      <c r="O62" s="287">
        <f t="shared" si="25"/>
        <v>-21.445888138669478</v>
      </c>
      <c r="P62" s="287">
        <f t="shared" si="25"/>
        <v>-21.840768869819797</v>
      </c>
      <c r="Q62" s="287">
        <f t="shared" si="25"/>
        <v>-22.237991514692112</v>
      </c>
      <c r="R62" s="287">
        <f t="shared" si="25"/>
        <v>-22.638411255668526</v>
      </c>
      <c r="S62" s="287">
        <f t="shared" si="25"/>
        <v>-20.836770372355819</v>
      </c>
      <c r="T62" s="287">
        <f t="shared" si="25"/>
        <v>-21.302569929015736</v>
      </c>
      <c r="U62" s="287">
        <f t="shared" si="25"/>
        <v>-21.772642576207502</v>
      </c>
      <c r="V62" s="287">
        <f t="shared" si="25"/>
        <v>-22.247655499115378</v>
      </c>
      <c r="W62" s="287">
        <f t="shared" si="25"/>
        <v>-22.728270151584695</v>
      </c>
      <c r="X62" s="287">
        <f t="shared" si="25"/>
        <v>-23.215143098283146</v>
      </c>
      <c r="Y62" s="287">
        <f t="shared" si="25"/>
        <v>-23.708926840568015</v>
      </c>
      <c r="Z62" s="287">
        <f t="shared" si="25"/>
        <v>-24.210270627174896</v>
      </c>
      <c r="AA62" s="287">
        <f t="shared" si="25"/>
        <v>-24.719821250813094</v>
      </c>
      <c r="AB62" s="287">
        <f t="shared" si="25"/>
        <v>-25.238223831724053</v>
      </c>
      <c r="AC62" s="287">
        <f t="shared" si="25"/>
        <v>-25.766122589231887</v>
      </c>
      <c r="AD62" s="287">
        <f t="shared" si="25"/>
        <v>-26.304161602289184</v>
      </c>
    </row>
    <row r="63" spans="2:30" ht="15" hidden="1" customHeight="1" outlineLevel="1" x14ac:dyDescent="0.3">
      <c r="B63" s="174" t="s">
        <v>169</v>
      </c>
      <c r="G63" s="196">
        <f>G62</f>
        <v>-18.264455999999999</v>
      </c>
      <c r="H63" s="196">
        <f t="shared" ref="H63:AD63" si="26">H62</f>
        <v>-18.672925021027201</v>
      </c>
      <c r="I63" s="196">
        <f t="shared" si="26"/>
        <v>-19.076405215112377</v>
      </c>
      <c r="J63" s="196">
        <f t="shared" si="26"/>
        <v>-19.475873187762609</v>
      </c>
      <c r="K63" s="196">
        <f t="shared" si="26"/>
        <v>-19.872285494701774</v>
      </c>
      <c r="L63" s="196">
        <f t="shared" si="26"/>
        <v>-20.26658010061783</v>
      </c>
      <c r="M63" s="196">
        <f t="shared" si="26"/>
        <v>-20.659677802021175</v>
      </c>
      <c r="N63" s="196">
        <f t="shared" si="26"/>
        <v>-21.052483616258488</v>
      </c>
      <c r="O63" s="196">
        <f t="shared" si="26"/>
        <v>-21.445888138669478</v>
      </c>
      <c r="P63" s="196">
        <f t="shared" si="26"/>
        <v>-21.840768869819797</v>
      </c>
      <c r="Q63" s="196">
        <f t="shared" si="26"/>
        <v>-22.237991514692112</v>
      </c>
      <c r="R63" s="196">
        <f t="shared" si="26"/>
        <v>-22.638411255668526</v>
      </c>
      <c r="S63" s="196">
        <f t="shared" si="26"/>
        <v>-20.836770372355819</v>
      </c>
      <c r="T63" s="196">
        <f t="shared" si="26"/>
        <v>-21.302569929015736</v>
      </c>
      <c r="U63" s="196">
        <f t="shared" si="26"/>
        <v>-21.772642576207502</v>
      </c>
      <c r="V63" s="196">
        <f t="shared" si="26"/>
        <v>-22.247655499115378</v>
      </c>
      <c r="W63" s="196">
        <f t="shared" si="26"/>
        <v>-22.728270151584695</v>
      </c>
      <c r="X63" s="196">
        <f t="shared" si="26"/>
        <v>-23.215143098283146</v>
      </c>
      <c r="Y63" s="196">
        <f t="shared" si="26"/>
        <v>-23.708926840568015</v>
      </c>
      <c r="Z63" s="196">
        <f t="shared" si="26"/>
        <v>-24.210270627174896</v>
      </c>
      <c r="AA63" s="196">
        <f t="shared" si="26"/>
        <v>-24.719821250813094</v>
      </c>
      <c r="AB63" s="196">
        <f t="shared" si="26"/>
        <v>-25.238223831724053</v>
      </c>
      <c r="AC63" s="196">
        <f t="shared" si="26"/>
        <v>-25.766122589231887</v>
      </c>
      <c r="AD63" s="196">
        <f t="shared" si="26"/>
        <v>-26.304161602289184</v>
      </c>
    </row>
    <row r="64" spans="2:30" ht="15" hidden="1" customHeight="1" outlineLevel="1" x14ac:dyDescent="0.3">
      <c r="B64" s="174"/>
    </row>
    <row r="65" spans="2:30" ht="15" hidden="1" customHeight="1" outlineLevel="1" x14ac:dyDescent="0.3">
      <c r="B65" s="174"/>
    </row>
    <row r="66" spans="2:30" ht="15" hidden="1" customHeight="1" outlineLevel="1" x14ac:dyDescent="0.3">
      <c r="B66" s="192" t="s">
        <v>171</v>
      </c>
    </row>
    <row r="67" spans="2:30" ht="15" hidden="1" customHeight="1" outlineLevel="1" x14ac:dyDescent="0.3">
      <c r="B67" s="174" t="s">
        <v>192</v>
      </c>
      <c r="G67" s="196">
        <f ca="1">G482</f>
        <v>0</v>
      </c>
      <c r="H67" s="196">
        <f t="shared" ref="H67:AD67" ca="1" si="27">H482</f>
        <v>0</v>
      </c>
      <c r="I67" s="196">
        <f t="shared" ca="1" si="27"/>
        <v>0</v>
      </c>
      <c r="J67" s="196">
        <f t="shared" ca="1" si="27"/>
        <v>0</v>
      </c>
      <c r="K67" s="196">
        <f t="shared" ca="1" si="27"/>
        <v>0</v>
      </c>
      <c r="L67" s="196">
        <f t="shared" ca="1" si="27"/>
        <v>0</v>
      </c>
      <c r="M67" s="196">
        <f t="shared" ca="1" si="27"/>
        <v>0</v>
      </c>
      <c r="N67" s="196">
        <f t="shared" ca="1" si="27"/>
        <v>0</v>
      </c>
      <c r="O67" s="196">
        <f t="shared" ca="1" si="27"/>
        <v>0</v>
      </c>
      <c r="P67" s="196">
        <f t="shared" ca="1" si="27"/>
        <v>0</v>
      </c>
      <c r="Q67" s="196">
        <f t="shared" ca="1" si="27"/>
        <v>0</v>
      </c>
      <c r="R67" s="196">
        <f t="shared" ca="1" si="27"/>
        <v>0</v>
      </c>
      <c r="S67" s="196">
        <f t="shared" ca="1" si="27"/>
        <v>0</v>
      </c>
      <c r="T67" s="196">
        <f t="shared" ca="1" si="27"/>
        <v>0</v>
      </c>
      <c r="U67" s="196">
        <f t="shared" ca="1" si="27"/>
        <v>0</v>
      </c>
      <c r="V67" s="196">
        <f t="shared" ca="1" si="27"/>
        <v>0</v>
      </c>
      <c r="W67" s="196">
        <f t="shared" ca="1" si="27"/>
        <v>0</v>
      </c>
      <c r="X67" s="196">
        <f t="shared" ca="1" si="27"/>
        <v>0</v>
      </c>
      <c r="Y67" s="196">
        <f t="shared" ca="1" si="27"/>
        <v>0</v>
      </c>
      <c r="Z67" s="196">
        <f t="shared" ca="1" si="27"/>
        <v>0</v>
      </c>
      <c r="AA67" s="196">
        <f t="shared" ca="1" si="27"/>
        <v>0</v>
      </c>
      <c r="AB67" s="196">
        <f t="shared" ca="1" si="27"/>
        <v>0</v>
      </c>
      <c r="AC67" s="196">
        <f t="shared" ca="1" si="27"/>
        <v>0</v>
      </c>
      <c r="AD67" s="196">
        <f t="shared" ca="1" si="27"/>
        <v>0</v>
      </c>
    </row>
    <row r="68" spans="2:30" ht="15" hidden="1" customHeight="1" outlineLevel="1" x14ac:dyDescent="0.3">
      <c r="B68" s="213" t="s">
        <v>172</v>
      </c>
      <c r="G68" s="287">
        <f>G488</f>
        <v>0</v>
      </c>
      <c r="H68" s="287">
        <f t="shared" ref="H68:AD68" si="28">H488</f>
        <v>0</v>
      </c>
      <c r="I68" s="287">
        <f t="shared" si="28"/>
        <v>0</v>
      </c>
      <c r="J68" s="287">
        <f t="shared" si="28"/>
        <v>0</v>
      </c>
      <c r="K68" s="287">
        <f t="shared" si="28"/>
        <v>0</v>
      </c>
      <c r="L68" s="287">
        <f t="shared" si="28"/>
        <v>0</v>
      </c>
      <c r="M68" s="287">
        <f t="shared" si="28"/>
        <v>0</v>
      </c>
      <c r="N68" s="287">
        <f t="shared" si="28"/>
        <v>0</v>
      </c>
      <c r="O68" s="287">
        <f t="shared" si="28"/>
        <v>0</v>
      </c>
      <c r="P68" s="287">
        <f t="shared" si="28"/>
        <v>0</v>
      </c>
      <c r="Q68" s="287">
        <f t="shared" si="28"/>
        <v>0</v>
      </c>
      <c r="R68" s="287">
        <f t="shared" si="28"/>
        <v>0</v>
      </c>
      <c r="S68" s="287">
        <f t="shared" si="28"/>
        <v>0</v>
      </c>
      <c r="T68" s="287">
        <f t="shared" si="28"/>
        <v>0</v>
      </c>
      <c r="U68" s="287">
        <f t="shared" si="28"/>
        <v>0</v>
      </c>
      <c r="V68" s="287">
        <f t="shared" si="28"/>
        <v>0</v>
      </c>
      <c r="W68" s="287">
        <f t="shared" si="28"/>
        <v>0</v>
      </c>
      <c r="X68" s="287">
        <f t="shared" si="28"/>
        <v>0</v>
      </c>
      <c r="Y68" s="287">
        <f t="shared" si="28"/>
        <v>0</v>
      </c>
      <c r="Z68" s="287">
        <f t="shared" si="28"/>
        <v>0</v>
      </c>
      <c r="AA68" s="287">
        <f t="shared" si="28"/>
        <v>0</v>
      </c>
      <c r="AB68" s="287">
        <f t="shared" si="28"/>
        <v>0</v>
      </c>
      <c r="AC68" s="287">
        <f t="shared" si="28"/>
        <v>0</v>
      </c>
      <c r="AD68" s="287">
        <f t="shared" si="28"/>
        <v>0</v>
      </c>
    </row>
    <row r="69" spans="2:30" ht="15" hidden="1" customHeight="1" outlineLevel="1" x14ac:dyDescent="0.3">
      <c r="B69" s="174" t="s">
        <v>169</v>
      </c>
      <c r="G69" s="196">
        <f ca="1">SUM(G67:G68)</f>
        <v>0</v>
      </c>
      <c r="H69" s="196">
        <f t="shared" ref="H69:AD69" ca="1" si="29">SUM(H67:H68)</f>
        <v>0</v>
      </c>
      <c r="I69" s="196">
        <f t="shared" ca="1" si="29"/>
        <v>0</v>
      </c>
      <c r="J69" s="196">
        <f t="shared" ca="1" si="29"/>
        <v>0</v>
      </c>
      <c r="K69" s="196">
        <f t="shared" ca="1" si="29"/>
        <v>0</v>
      </c>
      <c r="L69" s="196">
        <f t="shared" ca="1" si="29"/>
        <v>0</v>
      </c>
      <c r="M69" s="196">
        <f t="shared" ca="1" si="29"/>
        <v>0</v>
      </c>
      <c r="N69" s="196">
        <f t="shared" ca="1" si="29"/>
        <v>0</v>
      </c>
      <c r="O69" s="196">
        <f t="shared" ca="1" si="29"/>
        <v>0</v>
      </c>
      <c r="P69" s="196">
        <f t="shared" ca="1" si="29"/>
        <v>0</v>
      </c>
      <c r="Q69" s="196">
        <f t="shared" ca="1" si="29"/>
        <v>0</v>
      </c>
      <c r="R69" s="196">
        <f t="shared" ca="1" si="29"/>
        <v>0</v>
      </c>
      <c r="S69" s="196">
        <f t="shared" ca="1" si="29"/>
        <v>0</v>
      </c>
      <c r="T69" s="196">
        <f t="shared" ca="1" si="29"/>
        <v>0</v>
      </c>
      <c r="U69" s="196">
        <f t="shared" ca="1" si="29"/>
        <v>0</v>
      </c>
      <c r="V69" s="196">
        <f t="shared" ca="1" si="29"/>
        <v>0</v>
      </c>
      <c r="W69" s="196">
        <f t="shared" ca="1" si="29"/>
        <v>0</v>
      </c>
      <c r="X69" s="196">
        <f t="shared" ca="1" si="29"/>
        <v>0</v>
      </c>
      <c r="Y69" s="196">
        <f t="shared" ca="1" si="29"/>
        <v>0</v>
      </c>
      <c r="Z69" s="196">
        <f t="shared" ca="1" si="29"/>
        <v>0</v>
      </c>
      <c r="AA69" s="196">
        <f t="shared" ca="1" si="29"/>
        <v>0</v>
      </c>
      <c r="AB69" s="196">
        <f t="shared" ca="1" si="29"/>
        <v>0</v>
      </c>
      <c r="AC69" s="196">
        <f t="shared" ca="1" si="29"/>
        <v>0</v>
      </c>
      <c r="AD69" s="196">
        <f t="shared" ca="1" si="29"/>
        <v>0</v>
      </c>
    </row>
    <row r="70" spans="2:30" ht="15" hidden="1" customHeight="1" outlineLevel="1" x14ac:dyDescent="0.3">
      <c r="B70" s="174"/>
    </row>
    <row r="71" spans="2:30" ht="15" hidden="1" customHeight="1" outlineLevel="1" x14ac:dyDescent="0.3">
      <c r="B71" s="174"/>
    </row>
    <row r="72" spans="2:30" ht="15" hidden="1" customHeight="1" outlineLevel="1" x14ac:dyDescent="0.3">
      <c r="B72" s="192" t="s">
        <v>173</v>
      </c>
    </row>
    <row r="73" spans="2:30" ht="15" hidden="1" customHeight="1" outlineLevel="1" x14ac:dyDescent="0.3">
      <c r="B73" s="174" t="s">
        <v>45</v>
      </c>
      <c r="G73" s="196">
        <f>IF(Inputs!E183&gt;0,Inputs!E183,'Operational Model'!F75)</f>
        <v>3850</v>
      </c>
      <c r="H73" s="196">
        <f ca="1">IF(Inputs!F183&gt;0,Inputs!F183,'Operational Model'!G75)</f>
        <v>3854.2627159999997</v>
      </c>
      <c r="I73" s="196">
        <f ca="1">IF(Inputs!G183&gt;0,Inputs!G183,'Operational Model'!H75)</f>
        <v>3850.5065828856054</v>
      </c>
      <c r="J73" s="196">
        <f ca="1">IF(Inputs!H183&gt;0,Inputs!H183,'Operational Model'!I75)</f>
        <v>3840.0633643571455</v>
      </c>
      <c r="K73" s="196">
        <f ca="1">IF(Inputs!I183&gt;0,Inputs!I183,'Operational Model'!J75)</f>
        <v>3822.9123863230398</v>
      </c>
      <c r="L73" s="196">
        <f ca="1">IF(Inputs!J183&gt;0,Inputs!J183,'Operational Model'!K75)</f>
        <v>3799.0632294140541</v>
      </c>
      <c r="M73" s="196">
        <f ca="1">IF(Inputs!K183&gt;0,Inputs!K183,'Operational Model'!L75)</f>
        <v>3768.5553473109971</v>
      </c>
      <c r="N73" s="196">
        <f ca="1">IF(Inputs!L183&gt;0,Inputs!L183,'Operational Model'!M75)</f>
        <v>3731.4577285268438</v>
      </c>
      <c r="O73" s="196">
        <f ca="1">IF(Inputs!M183&gt;0,Inputs!M183,'Operational Model'!N75)</f>
        <v>3687.8686008418572</v>
      </c>
      <c r="P73" s="196">
        <f ca="1">IF(Inputs!N183&gt;0,Inputs!N183,'Operational Model'!O75)</f>
        <v>3637.9151776494564</v>
      </c>
      <c r="Q73" s="196">
        <f ca="1">IF(Inputs!O183&gt;0,Inputs!O183,'Operational Model'!P75)</f>
        <v>3581.753445528444</v>
      </c>
      <c r="R73" s="196">
        <f ca="1">IF(Inputs!P183&gt;0,Inputs!P183,'Operational Model'!Q75)</f>
        <v>3519.5679924137899</v>
      </c>
      <c r="S73" s="196">
        <f ca="1">IF(Inputs!Q183&gt;0,Inputs!Q183,'Operational Model'!R75)</f>
        <v>3451.5718757935347</v>
      </c>
      <c r="T73" s="196">
        <f ca="1">IF(Inputs!R183&gt;0,Inputs!R183,'Operational Model'!S75)</f>
        <v>3402.5242701141328</v>
      </c>
      <c r="U73" s="196">
        <f ca="1">IF(Inputs!S183&gt;0,Inputs!S183,'Operational Model'!T75)</f>
        <v>3363.9329341993771</v>
      </c>
      <c r="V73" s="196">
        <f ca="1">IF(Inputs!T183&gt;0,Inputs!T183,'Operational Model'!U75)</f>
        <v>3336.2944546216468</v>
      </c>
      <c r="W73" s="196">
        <f ca="1">IF(Inputs!U183&gt;0,Inputs!U183,'Operational Model'!V75)</f>
        <v>3320.0182773316747</v>
      </c>
      <c r="X73" s="196">
        <f ca="1">IF(Inputs!V183&gt;0,Inputs!V183,'Operational Model'!W75)</f>
        <v>3315.5482242645448</v>
      </c>
      <c r="Y73" s="196">
        <f ca="1">IF(Inputs!W183&gt;0,Inputs!W183,'Operational Model'!X75)</f>
        <v>3323.3554269179335</v>
      </c>
      <c r="Z73" s="196">
        <f ca="1">IF(Inputs!X183&gt;0,Inputs!X183,'Operational Model'!Y75)</f>
        <v>3343.9386424675909</v>
      </c>
      <c r="AA73" s="196">
        <f ca="1">IF(Inputs!Y183&gt;0,Inputs!Y183,'Operational Model'!Z75)</f>
        <v>3377.8245971049223</v>
      </c>
      <c r="AB73" s="196">
        <f ca="1">IF(Inputs!Z183&gt;0,Inputs!Z183,'Operational Model'!AA75)</f>
        <v>3425.568356816329</v>
      </c>
      <c r="AC73" s="196">
        <f ca="1">IF(Inputs!AA183&gt;0,Inputs!AA183,'Operational Model'!AB75)</f>
        <v>3487.7537258495458</v>
      </c>
      <c r="AD73" s="196">
        <f ca="1">IF(Inputs!AB183&gt;0,Inputs!AB183,'Operational Model'!AC75)</f>
        <v>3566.3535518302178</v>
      </c>
    </row>
    <row r="74" spans="2:30" ht="15" hidden="1" customHeight="1" outlineLevel="1" thickBot="1" x14ac:dyDescent="0.35">
      <c r="B74" s="174" t="s">
        <v>174</v>
      </c>
      <c r="G74" s="196">
        <f ca="1">G58+G63+G69</f>
        <v>4.2627159999999087</v>
      </c>
      <c r="H74" s="196">
        <f t="shared" ref="H74:AD74" ca="1" si="30">H58+H63+H69</f>
        <v>-3.7561331143944905</v>
      </c>
      <c r="I74" s="196">
        <f t="shared" ca="1" si="30"/>
        <v>-10.443218528459955</v>
      </c>
      <c r="J74" s="196">
        <f t="shared" ca="1" si="30"/>
        <v>-17.150978034105719</v>
      </c>
      <c r="K74" s="196">
        <f t="shared" ca="1" si="30"/>
        <v>-23.849156908985695</v>
      </c>
      <c r="L74" s="196">
        <f t="shared" ca="1" si="30"/>
        <v>-30.507882103056872</v>
      </c>
      <c r="M74" s="196">
        <f t="shared" ca="1" si="30"/>
        <v>-37.097618784153326</v>
      </c>
      <c r="N74" s="196">
        <f t="shared" ca="1" si="30"/>
        <v>-43.589127684986394</v>
      </c>
      <c r="O74" s="196">
        <f t="shared" ca="1" si="30"/>
        <v>-49.953423192401033</v>
      </c>
      <c r="P74" s="196">
        <f t="shared" ca="1" si="30"/>
        <v>-56.161732121012591</v>
      </c>
      <c r="Q74" s="196">
        <f t="shared" ca="1" si="30"/>
        <v>-62.18545311465418</v>
      </c>
      <c r="R74" s="196">
        <f t="shared" ca="1" si="30"/>
        <v>-67.996116620255151</v>
      </c>
      <c r="S74" s="196">
        <f t="shared" ca="1" si="30"/>
        <v>-49.047605679401698</v>
      </c>
      <c r="T74" s="196">
        <f t="shared" ca="1" si="30"/>
        <v>-38.591335914755916</v>
      </c>
      <c r="U74" s="196">
        <f t="shared" ca="1" si="30"/>
        <v>-27.638479577730166</v>
      </c>
      <c r="V74" s="196">
        <f t="shared" ca="1" si="30"/>
        <v>-16.276177289972178</v>
      </c>
      <c r="W74" s="196">
        <f t="shared" ca="1" si="30"/>
        <v>-4.47005306712974</v>
      </c>
      <c r="X74" s="196">
        <f t="shared" ca="1" si="30"/>
        <v>7.8072026533887602</v>
      </c>
      <c r="Y74" s="196">
        <f t="shared" ca="1" si="30"/>
        <v>20.583215549657542</v>
      </c>
      <c r="Z74" s="196">
        <f t="shared" ca="1" si="30"/>
        <v>33.885954637331665</v>
      </c>
      <c r="AA74" s="196">
        <f t="shared" ca="1" si="30"/>
        <v>47.743759711406824</v>
      </c>
      <c r="AB74" s="196">
        <f t="shared" ca="1" si="30"/>
        <v>62.185369033216844</v>
      </c>
      <c r="AC74" s="196">
        <f t="shared" ca="1" si="30"/>
        <v>78.599825980672193</v>
      </c>
      <c r="AD74" s="196">
        <f t="shared" ca="1" si="30"/>
        <v>89.522946338805681</v>
      </c>
    </row>
    <row r="75" spans="2:30" ht="15" hidden="1" customHeight="1" outlineLevel="1" x14ac:dyDescent="0.3">
      <c r="B75" s="174" t="s">
        <v>48</v>
      </c>
      <c r="G75" s="288">
        <f ca="1">SUM(G73:G74)</f>
        <v>3854.2627159999997</v>
      </c>
      <c r="H75" s="288">
        <f t="shared" ref="H75:AD75" ca="1" si="31">SUM(H73:H74)</f>
        <v>3850.5065828856054</v>
      </c>
      <c r="I75" s="288">
        <f t="shared" ca="1" si="31"/>
        <v>3840.0633643571455</v>
      </c>
      <c r="J75" s="288">
        <f t="shared" ca="1" si="31"/>
        <v>3822.9123863230398</v>
      </c>
      <c r="K75" s="288">
        <f t="shared" ca="1" si="31"/>
        <v>3799.0632294140541</v>
      </c>
      <c r="L75" s="288">
        <f t="shared" ca="1" si="31"/>
        <v>3768.5553473109971</v>
      </c>
      <c r="M75" s="288">
        <f t="shared" ca="1" si="31"/>
        <v>3731.4577285268438</v>
      </c>
      <c r="N75" s="288">
        <f t="shared" ca="1" si="31"/>
        <v>3687.8686008418572</v>
      </c>
      <c r="O75" s="288">
        <f t="shared" ca="1" si="31"/>
        <v>3637.9151776494564</v>
      </c>
      <c r="P75" s="288">
        <f t="shared" ca="1" si="31"/>
        <v>3581.753445528444</v>
      </c>
      <c r="Q75" s="288">
        <f t="shared" ca="1" si="31"/>
        <v>3519.5679924137899</v>
      </c>
      <c r="R75" s="288">
        <f t="shared" ca="1" si="31"/>
        <v>3451.5718757935347</v>
      </c>
      <c r="S75" s="288">
        <f t="shared" ca="1" si="31"/>
        <v>3402.5242701141328</v>
      </c>
      <c r="T75" s="288">
        <f t="shared" ca="1" si="31"/>
        <v>3363.9329341993771</v>
      </c>
      <c r="U75" s="288">
        <f t="shared" ca="1" si="31"/>
        <v>3336.2944546216468</v>
      </c>
      <c r="V75" s="288">
        <f t="shared" ca="1" si="31"/>
        <v>3320.0182773316747</v>
      </c>
      <c r="W75" s="288">
        <f t="shared" ca="1" si="31"/>
        <v>3315.5482242645448</v>
      </c>
      <c r="X75" s="288">
        <f t="shared" ca="1" si="31"/>
        <v>3323.3554269179335</v>
      </c>
      <c r="Y75" s="288">
        <f t="shared" ca="1" si="31"/>
        <v>3343.9386424675909</v>
      </c>
      <c r="Z75" s="288">
        <f t="shared" ca="1" si="31"/>
        <v>3377.8245971049223</v>
      </c>
      <c r="AA75" s="288">
        <f t="shared" ca="1" si="31"/>
        <v>3425.568356816329</v>
      </c>
      <c r="AB75" s="288">
        <f t="shared" ca="1" si="31"/>
        <v>3487.7537258495458</v>
      </c>
      <c r="AC75" s="288">
        <f t="shared" ca="1" si="31"/>
        <v>3566.3535518302178</v>
      </c>
      <c r="AD75" s="288">
        <f t="shared" ca="1" si="31"/>
        <v>3655.8764981690233</v>
      </c>
    </row>
    <row r="76" spans="2:30" ht="15" hidden="1" customHeight="1" outlineLevel="1" x14ac:dyDescent="0.3">
      <c r="B76" s="174"/>
    </row>
    <row r="77" spans="2:30" ht="15" hidden="1" customHeight="1" outlineLevel="1" x14ac:dyDescent="0.3">
      <c r="B77" s="192" t="s">
        <v>324</v>
      </c>
    </row>
    <row r="78" spans="2:30" ht="15" hidden="1" customHeight="1" outlineLevel="1" x14ac:dyDescent="0.3">
      <c r="B78" s="174" t="s">
        <v>328</v>
      </c>
      <c r="G78" s="289">
        <f ca="1">IF(G73+G74=G75,0,1)</f>
        <v>0</v>
      </c>
      <c r="H78" s="289">
        <f t="shared" ref="H78:AD78" ca="1" si="32">IF(H73+H74=H75,0,1)</f>
        <v>0</v>
      </c>
      <c r="I78" s="289">
        <f t="shared" ca="1" si="32"/>
        <v>0</v>
      </c>
      <c r="J78" s="289">
        <f t="shared" ca="1" si="32"/>
        <v>0</v>
      </c>
      <c r="K78" s="289">
        <f t="shared" ca="1" si="32"/>
        <v>0</v>
      </c>
      <c r="L78" s="289">
        <f t="shared" ca="1" si="32"/>
        <v>0</v>
      </c>
      <c r="M78" s="289">
        <f t="shared" ca="1" si="32"/>
        <v>0</v>
      </c>
      <c r="N78" s="289">
        <f t="shared" ca="1" si="32"/>
        <v>0</v>
      </c>
      <c r="O78" s="289">
        <f t="shared" ca="1" si="32"/>
        <v>0</v>
      </c>
      <c r="P78" s="289">
        <f t="shared" ca="1" si="32"/>
        <v>0</v>
      </c>
      <c r="Q78" s="289">
        <f t="shared" ca="1" si="32"/>
        <v>0</v>
      </c>
      <c r="R78" s="289">
        <f t="shared" ca="1" si="32"/>
        <v>0</v>
      </c>
      <c r="S78" s="289">
        <f t="shared" ca="1" si="32"/>
        <v>0</v>
      </c>
      <c r="T78" s="289">
        <f t="shared" ca="1" si="32"/>
        <v>0</v>
      </c>
      <c r="U78" s="289">
        <f t="shared" ca="1" si="32"/>
        <v>0</v>
      </c>
      <c r="V78" s="289">
        <f t="shared" ca="1" si="32"/>
        <v>0</v>
      </c>
      <c r="W78" s="289">
        <f t="shared" ca="1" si="32"/>
        <v>0</v>
      </c>
      <c r="X78" s="289">
        <f t="shared" ca="1" si="32"/>
        <v>0</v>
      </c>
      <c r="Y78" s="289">
        <f t="shared" ca="1" si="32"/>
        <v>0</v>
      </c>
      <c r="Z78" s="289">
        <f t="shared" ca="1" si="32"/>
        <v>0</v>
      </c>
      <c r="AA78" s="289">
        <f t="shared" ca="1" si="32"/>
        <v>0</v>
      </c>
      <c r="AB78" s="289">
        <f t="shared" ca="1" si="32"/>
        <v>0</v>
      </c>
      <c r="AC78" s="289">
        <f t="shared" ca="1" si="32"/>
        <v>0</v>
      </c>
      <c r="AD78" s="289">
        <f t="shared" ca="1" si="32"/>
        <v>0</v>
      </c>
    </row>
    <row r="79" spans="2:30" ht="15" hidden="1" customHeight="1" outlineLevel="1" x14ac:dyDescent="0.3">
      <c r="G79" s="149"/>
      <c r="H79" s="149"/>
      <c r="I79" s="149"/>
      <c r="J79" s="149"/>
      <c r="K79" s="149"/>
      <c r="L79" s="149"/>
      <c r="M79" s="149"/>
      <c r="N79" s="149"/>
      <c r="O79" s="149"/>
      <c r="P79" s="149"/>
      <c r="Q79" s="149"/>
      <c r="R79" s="149"/>
      <c r="S79" s="149"/>
      <c r="T79" s="149"/>
      <c r="U79" s="149"/>
      <c r="V79" s="149"/>
      <c r="W79" s="149"/>
      <c r="X79" s="149"/>
      <c r="Y79" s="149"/>
      <c r="Z79" s="149"/>
      <c r="AA79" s="149"/>
      <c r="AB79" s="149"/>
      <c r="AC79" s="149"/>
      <c r="AD79" s="149"/>
    </row>
    <row r="80" spans="2:30" ht="15" hidden="1" customHeight="1" outlineLevel="1" x14ac:dyDescent="0.3">
      <c r="G80" s="149"/>
      <c r="H80" s="149"/>
      <c r="I80" s="149"/>
      <c r="J80" s="149"/>
      <c r="K80" s="149"/>
      <c r="L80" s="149"/>
      <c r="M80" s="149"/>
      <c r="N80" s="149"/>
      <c r="O80" s="149"/>
      <c r="P80" s="149"/>
      <c r="Q80" s="149"/>
      <c r="R80" s="149"/>
      <c r="S80" s="149"/>
      <c r="T80" s="149"/>
      <c r="U80" s="149"/>
      <c r="V80" s="149"/>
      <c r="W80" s="149"/>
      <c r="X80" s="149"/>
      <c r="Y80" s="149"/>
      <c r="Z80" s="149"/>
      <c r="AA80" s="149"/>
      <c r="AB80" s="149"/>
      <c r="AC80" s="149"/>
      <c r="AD80" s="149"/>
    </row>
    <row r="81" spans="1:30" ht="15" customHeight="1" collapsed="1" x14ac:dyDescent="0.3">
      <c r="G81" s="149"/>
      <c r="H81" s="149"/>
      <c r="I81" s="149"/>
      <c r="J81" s="149"/>
      <c r="K81" s="149"/>
      <c r="L81" s="149"/>
      <c r="M81" s="149"/>
      <c r="N81" s="149"/>
      <c r="O81" s="149"/>
      <c r="P81" s="149"/>
      <c r="Q81" s="149"/>
      <c r="R81" s="149"/>
      <c r="S81" s="149"/>
      <c r="T81" s="149"/>
      <c r="U81" s="149"/>
      <c r="V81" s="149"/>
      <c r="W81" s="149"/>
      <c r="X81" s="149"/>
      <c r="Y81" s="149"/>
      <c r="Z81" s="149"/>
      <c r="AA81" s="149"/>
      <c r="AB81" s="149"/>
      <c r="AC81" s="149"/>
      <c r="AD81" s="149"/>
    </row>
    <row r="82" spans="1:30" ht="15" customHeight="1" x14ac:dyDescent="0.3">
      <c r="A82" s="149" t="s">
        <v>33</v>
      </c>
      <c r="B82" s="152" t="s">
        <v>158</v>
      </c>
      <c r="C82" s="153"/>
      <c r="D82" s="153"/>
      <c r="E82" s="153"/>
      <c r="F82" s="153"/>
      <c r="G82" s="153"/>
      <c r="H82" s="153"/>
      <c r="I82" s="153"/>
      <c r="J82" s="153"/>
      <c r="K82" s="153"/>
      <c r="L82" s="153"/>
      <c r="M82" s="153"/>
      <c r="N82" s="153"/>
      <c r="O82" s="153"/>
      <c r="P82" s="153"/>
      <c r="Q82" s="153"/>
      <c r="R82" s="153"/>
      <c r="S82" s="153"/>
      <c r="T82" s="153"/>
      <c r="U82" s="153"/>
      <c r="V82" s="153"/>
      <c r="W82" s="153"/>
      <c r="X82" s="153"/>
      <c r="Y82" s="153"/>
      <c r="Z82" s="153"/>
      <c r="AA82" s="153"/>
      <c r="AB82" s="153"/>
      <c r="AC82" s="153"/>
      <c r="AD82" s="153"/>
    </row>
    <row r="83" spans="1:30" ht="15" hidden="1" customHeight="1" outlineLevel="1" x14ac:dyDescent="0.3">
      <c r="G83" s="149"/>
      <c r="H83" s="149"/>
      <c r="I83" s="149"/>
      <c r="J83" s="149"/>
      <c r="K83" s="149"/>
      <c r="L83" s="149"/>
      <c r="M83" s="149"/>
      <c r="N83" s="149"/>
      <c r="O83" s="149"/>
      <c r="P83" s="149"/>
      <c r="Q83" s="149"/>
      <c r="R83" s="149"/>
      <c r="S83" s="149"/>
      <c r="T83" s="149"/>
      <c r="U83" s="149"/>
      <c r="V83" s="149"/>
      <c r="W83" s="149"/>
      <c r="X83" s="149"/>
      <c r="Y83" s="149"/>
      <c r="Z83" s="149"/>
      <c r="AA83" s="149"/>
      <c r="AB83" s="149"/>
      <c r="AC83" s="149"/>
      <c r="AD83" s="149"/>
    </row>
    <row r="84" spans="1:30" ht="15" hidden="1" customHeight="1" outlineLevel="1" x14ac:dyDescent="0.3">
      <c r="B84" s="155" t="s">
        <v>24</v>
      </c>
      <c r="G84" s="156">
        <f>G$5</f>
        <v>2026</v>
      </c>
      <c r="H84" s="157">
        <f t="shared" ref="H84:AD84" si="33">H$5</f>
        <v>2026</v>
      </c>
      <c r="I84" s="158">
        <f t="shared" si="33"/>
        <v>2026</v>
      </c>
      <c r="J84" s="157">
        <f t="shared" si="33"/>
        <v>2026</v>
      </c>
      <c r="K84" s="157">
        <f t="shared" si="33"/>
        <v>2026</v>
      </c>
      <c r="L84" s="158">
        <f t="shared" si="33"/>
        <v>2026</v>
      </c>
      <c r="M84" s="157">
        <f t="shared" si="33"/>
        <v>2026</v>
      </c>
      <c r="N84" s="157">
        <f t="shared" si="33"/>
        <v>2026</v>
      </c>
      <c r="O84" s="158">
        <f t="shared" si="33"/>
        <v>2026</v>
      </c>
      <c r="P84" s="157">
        <f t="shared" si="33"/>
        <v>2026</v>
      </c>
      <c r="Q84" s="157">
        <f t="shared" si="33"/>
        <v>2026</v>
      </c>
      <c r="R84" s="159">
        <f t="shared" si="33"/>
        <v>2026</v>
      </c>
      <c r="S84" s="157">
        <f t="shared" si="33"/>
        <v>2027</v>
      </c>
      <c r="T84" s="157">
        <f t="shared" si="33"/>
        <v>2027</v>
      </c>
      <c r="U84" s="158">
        <f t="shared" si="33"/>
        <v>2027</v>
      </c>
      <c r="V84" s="157">
        <f t="shared" si="33"/>
        <v>2027</v>
      </c>
      <c r="W84" s="157">
        <f t="shared" si="33"/>
        <v>2027</v>
      </c>
      <c r="X84" s="158">
        <f t="shared" si="33"/>
        <v>2027</v>
      </c>
      <c r="Y84" s="157">
        <f t="shared" si="33"/>
        <v>2027</v>
      </c>
      <c r="Z84" s="157">
        <f t="shared" si="33"/>
        <v>2027</v>
      </c>
      <c r="AA84" s="158">
        <f t="shared" si="33"/>
        <v>2027</v>
      </c>
      <c r="AB84" s="157">
        <f t="shared" si="33"/>
        <v>2027</v>
      </c>
      <c r="AC84" s="157">
        <f t="shared" si="33"/>
        <v>2027</v>
      </c>
      <c r="AD84" s="159">
        <f t="shared" si="33"/>
        <v>2027</v>
      </c>
    </row>
    <row r="85" spans="1:30" ht="15" hidden="1" customHeight="1" outlineLevel="1" x14ac:dyDescent="0.3">
      <c r="B85" s="155" t="str" cm="1">
        <f t="array" ref="B85">CONCATENATE("Model Running: ",INDEX(Inputs!$B$15:$B$17,Inputs!$D$8)," Drivers")</f>
        <v>Model Running: Base Case Drivers</v>
      </c>
      <c r="G85" s="161">
        <f>G$6</f>
        <v>1</v>
      </c>
      <c r="H85" s="162">
        <f t="shared" ref="H85:AD85" si="34">H$6</f>
        <v>1</v>
      </c>
      <c r="I85" s="163">
        <f t="shared" si="34"/>
        <v>1</v>
      </c>
      <c r="J85" s="162">
        <f t="shared" si="34"/>
        <v>2</v>
      </c>
      <c r="K85" s="162">
        <f t="shared" si="34"/>
        <v>2</v>
      </c>
      <c r="L85" s="163">
        <f t="shared" si="34"/>
        <v>2</v>
      </c>
      <c r="M85" s="162">
        <f t="shared" si="34"/>
        <v>3</v>
      </c>
      <c r="N85" s="162">
        <f t="shared" si="34"/>
        <v>3</v>
      </c>
      <c r="O85" s="163">
        <f t="shared" si="34"/>
        <v>3</v>
      </c>
      <c r="P85" s="162">
        <f t="shared" si="34"/>
        <v>4</v>
      </c>
      <c r="Q85" s="162">
        <f t="shared" si="34"/>
        <v>4</v>
      </c>
      <c r="R85" s="164">
        <f t="shared" si="34"/>
        <v>4</v>
      </c>
      <c r="S85" s="162">
        <f t="shared" si="34"/>
        <v>1</v>
      </c>
      <c r="T85" s="162">
        <f t="shared" si="34"/>
        <v>1</v>
      </c>
      <c r="U85" s="163">
        <f t="shared" si="34"/>
        <v>1</v>
      </c>
      <c r="V85" s="162">
        <f t="shared" si="34"/>
        <v>2</v>
      </c>
      <c r="W85" s="162">
        <f t="shared" si="34"/>
        <v>2</v>
      </c>
      <c r="X85" s="163">
        <f t="shared" si="34"/>
        <v>2</v>
      </c>
      <c r="Y85" s="162">
        <f t="shared" si="34"/>
        <v>3</v>
      </c>
      <c r="Z85" s="162">
        <f t="shared" si="34"/>
        <v>3</v>
      </c>
      <c r="AA85" s="163">
        <f t="shared" si="34"/>
        <v>3</v>
      </c>
      <c r="AB85" s="162">
        <f t="shared" si="34"/>
        <v>4</v>
      </c>
      <c r="AC85" s="162">
        <f t="shared" si="34"/>
        <v>4</v>
      </c>
      <c r="AD85" s="164">
        <f t="shared" si="34"/>
        <v>4</v>
      </c>
    </row>
    <row r="86" spans="1:30" ht="15" hidden="1" customHeight="1" outlineLevel="1" x14ac:dyDescent="0.3">
      <c r="G86" s="166">
        <f>G$7</f>
        <v>46053</v>
      </c>
      <c r="H86" s="167">
        <f t="shared" ref="H86:AD86" si="35">H$7</f>
        <v>46081</v>
      </c>
      <c r="I86" s="168">
        <f>I$7</f>
        <v>46112</v>
      </c>
      <c r="J86" s="167">
        <f t="shared" si="35"/>
        <v>46142</v>
      </c>
      <c r="K86" s="167">
        <f t="shared" si="35"/>
        <v>46173</v>
      </c>
      <c r="L86" s="168">
        <f t="shared" si="35"/>
        <v>46203</v>
      </c>
      <c r="M86" s="167">
        <f t="shared" si="35"/>
        <v>46234</v>
      </c>
      <c r="N86" s="167">
        <f t="shared" si="35"/>
        <v>46265</v>
      </c>
      <c r="O86" s="168">
        <f t="shared" si="35"/>
        <v>46295</v>
      </c>
      <c r="P86" s="167">
        <f t="shared" si="35"/>
        <v>46326</v>
      </c>
      <c r="Q86" s="167">
        <f t="shared" si="35"/>
        <v>46356</v>
      </c>
      <c r="R86" s="169">
        <f t="shared" si="35"/>
        <v>46387</v>
      </c>
      <c r="S86" s="167">
        <f t="shared" si="35"/>
        <v>46418</v>
      </c>
      <c r="T86" s="167">
        <f t="shared" si="35"/>
        <v>46446</v>
      </c>
      <c r="U86" s="168">
        <f t="shared" si="35"/>
        <v>46477</v>
      </c>
      <c r="V86" s="167">
        <f t="shared" si="35"/>
        <v>46507</v>
      </c>
      <c r="W86" s="167">
        <f t="shared" si="35"/>
        <v>46538</v>
      </c>
      <c r="X86" s="168">
        <f t="shared" si="35"/>
        <v>46568</v>
      </c>
      <c r="Y86" s="167">
        <f t="shared" si="35"/>
        <v>46599</v>
      </c>
      <c r="Z86" s="167">
        <f t="shared" si="35"/>
        <v>46630</v>
      </c>
      <c r="AA86" s="168">
        <f t="shared" si="35"/>
        <v>46660</v>
      </c>
      <c r="AB86" s="167">
        <f t="shared" si="35"/>
        <v>46691</v>
      </c>
      <c r="AC86" s="167">
        <f t="shared" si="35"/>
        <v>46721</v>
      </c>
      <c r="AD86" s="169">
        <f t="shared" si="35"/>
        <v>46752</v>
      </c>
    </row>
    <row r="87" spans="1:30" ht="15" hidden="1" customHeight="1" outlineLevel="1" x14ac:dyDescent="0.3">
      <c r="G87" s="278"/>
      <c r="H87" s="278"/>
      <c r="I87" s="278"/>
      <c r="J87" s="278"/>
      <c r="K87" s="278"/>
      <c r="L87" s="278"/>
      <c r="M87" s="278"/>
      <c r="N87" s="278"/>
      <c r="O87" s="278"/>
      <c r="P87" s="278"/>
      <c r="Q87" s="278"/>
      <c r="R87" s="278"/>
      <c r="S87" s="278"/>
      <c r="T87" s="278"/>
      <c r="U87" s="278"/>
      <c r="V87" s="278"/>
      <c r="W87" s="278"/>
      <c r="X87" s="278"/>
      <c r="Y87" s="278"/>
      <c r="Z87" s="278"/>
      <c r="AA87" s="278"/>
      <c r="AB87" s="278"/>
      <c r="AC87" s="278"/>
      <c r="AD87" s="278"/>
    </row>
    <row r="88" spans="1:30" ht="15" hidden="1" customHeight="1" outlineLevel="1" x14ac:dyDescent="0.3">
      <c r="B88" s="172" t="s">
        <v>179</v>
      </c>
      <c r="G88" s="279"/>
      <c r="H88" s="279"/>
      <c r="I88" s="279"/>
      <c r="J88" s="279"/>
      <c r="K88" s="279"/>
      <c r="L88" s="279"/>
      <c r="M88" s="279"/>
      <c r="N88" s="279"/>
      <c r="O88" s="279"/>
      <c r="P88" s="279"/>
      <c r="Q88" s="279"/>
      <c r="R88" s="279"/>
      <c r="S88" s="279"/>
      <c r="T88" s="279"/>
      <c r="U88" s="279"/>
      <c r="V88" s="279"/>
      <c r="W88" s="279"/>
      <c r="X88" s="279"/>
      <c r="Y88" s="279"/>
      <c r="Z88" s="279"/>
      <c r="AA88" s="279"/>
      <c r="AB88" s="279"/>
      <c r="AC88" s="279"/>
      <c r="AD88" s="279"/>
    </row>
    <row r="89" spans="1:30" ht="15" hidden="1" customHeight="1" outlineLevel="1" x14ac:dyDescent="0.3">
      <c r="G89" s="279"/>
      <c r="H89" s="279"/>
      <c r="I89" s="279"/>
      <c r="J89" s="279"/>
      <c r="K89" s="279"/>
      <c r="L89" s="279"/>
      <c r="M89" s="279"/>
      <c r="N89" s="279"/>
      <c r="O89" s="279"/>
      <c r="P89" s="279"/>
      <c r="Q89" s="279"/>
      <c r="R89" s="279"/>
      <c r="S89" s="279"/>
      <c r="T89" s="279"/>
      <c r="U89" s="279"/>
      <c r="V89" s="279"/>
      <c r="W89" s="279"/>
      <c r="X89" s="279"/>
      <c r="Y89" s="279"/>
      <c r="Z89" s="279"/>
      <c r="AA89" s="279"/>
      <c r="AB89" s="279"/>
      <c r="AC89" s="279"/>
      <c r="AD89" s="279"/>
    </row>
    <row r="90" spans="1:30" ht="15" hidden="1" customHeight="1" outlineLevel="1" x14ac:dyDescent="0.3">
      <c r="B90" s="165" t="s">
        <v>36</v>
      </c>
      <c r="G90" s="280">
        <f ca="1">G75</f>
        <v>3854.2627159999997</v>
      </c>
      <c r="H90" s="280">
        <f t="shared" ref="H90:AD90" ca="1" si="36">H75</f>
        <v>3850.5065828856054</v>
      </c>
      <c r="I90" s="280">
        <f t="shared" ca="1" si="36"/>
        <v>3840.0633643571455</v>
      </c>
      <c r="J90" s="280">
        <f t="shared" ca="1" si="36"/>
        <v>3822.9123863230398</v>
      </c>
      <c r="K90" s="280">
        <f t="shared" ca="1" si="36"/>
        <v>3799.0632294140541</v>
      </c>
      <c r="L90" s="280">
        <f t="shared" ca="1" si="36"/>
        <v>3768.5553473109971</v>
      </c>
      <c r="M90" s="280">
        <f t="shared" ca="1" si="36"/>
        <v>3731.4577285268438</v>
      </c>
      <c r="N90" s="280">
        <f t="shared" ca="1" si="36"/>
        <v>3687.8686008418572</v>
      </c>
      <c r="O90" s="280">
        <f t="shared" ca="1" si="36"/>
        <v>3637.9151776494564</v>
      </c>
      <c r="P90" s="280">
        <f t="shared" ca="1" si="36"/>
        <v>3581.753445528444</v>
      </c>
      <c r="Q90" s="280">
        <f t="shared" ca="1" si="36"/>
        <v>3519.5679924137899</v>
      </c>
      <c r="R90" s="280">
        <f t="shared" ca="1" si="36"/>
        <v>3451.5718757935347</v>
      </c>
      <c r="S90" s="280">
        <f t="shared" ca="1" si="36"/>
        <v>3402.5242701141328</v>
      </c>
      <c r="T90" s="280">
        <f t="shared" ca="1" si="36"/>
        <v>3363.9329341993771</v>
      </c>
      <c r="U90" s="280">
        <f t="shared" ca="1" si="36"/>
        <v>3336.2944546216468</v>
      </c>
      <c r="V90" s="280">
        <f t="shared" ca="1" si="36"/>
        <v>3320.0182773316747</v>
      </c>
      <c r="W90" s="280">
        <f t="shared" ca="1" si="36"/>
        <v>3315.5482242645448</v>
      </c>
      <c r="X90" s="280">
        <f t="shared" ca="1" si="36"/>
        <v>3323.3554269179335</v>
      </c>
      <c r="Y90" s="280">
        <f t="shared" ca="1" si="36"/>
        <v>3343.9386424675909</v>
      </c>
      <c r="Z90" s="280">
        <f t="shared" ca="1" si="36"/>
        <v>3377.8245971049223</v>
      </c>
      <c r="AA90" s="280">
        <f t="shared" ca="1" si="36"/>
        <v>3425.568356816329</v>
      </c>
      <c r="AB90" s="280">
        <f t="shared" ca="1" si="36"/>
        <v>3487.7537258495458</v>
      </c>
      <c r="AC90" s="280">
        <f t="shared" ca="1" si="36"/>
        <v>3566.3535518302178</v>
      </c>
      <c r="AD90" s="280">
        <f t="shared" ca="1" si="36"/>
        <v>3655.8764981690233</v>
      </c>
    </row>
    <row r="91" spans="1:30" ht="15" hidden="1" customHeight="1" outlineLevel="1" x14ac:dyDescent="0.3">
      <c r="B91" s="165" t="s">
        <v>175</v>
      </c>
      <c r="G91" s="280">
        <f>G381</f>
        <v>943.66356000000007</v>
      </c>
      <c r="H91" s="280">
        <f t="shared" ref="H91:AD91" si="37">H381</f>
        <v>964.76779275307194</v>
      </c>
      <c r="I91" s="280">
        <f t="shared" si="37"/>
        <v>985.61426944747279</v>
      </c>
      <c r="J91" s="280">
        <f t="shared" si="37"/>
        <v>1006.2534480344015</v>
      </c>
      <c r="K91" s="280">
        <f t="shared" si="37"/>
        <v>1026.7347505595915</v>
      </c>
      <c r="L91" s="280">
        <f t="shared" si="37"/>
        <v>1047.1066385319211</v>
      </c>
      <c r="M91" s="280">
        <f t="shared" si="37"/>
        <v>1067.416686437761</v>
      </c>
      <c r="N91" s="280">
        <f t="shared" si="37"/>
        <v>1087.7116535066887</v>
      </c>
      <c r="O91" s="280">
        <f t="shared" si="37"/>
        <v>1108.0375538312562</v>
      </c>
      <c r="P91" s="280">
        <f t="shared" si="37"/>
        <v>1128.4397249406898</v>
      </c>
      <c r="Q91" s="280">
        <f t="shared" si="37"/>
        <v>1148.9628949257592</v>
      </c>
      <c r="R91" s="280">
        <f t="shared" si="37"/>
        <v>1169.6512482095402</v>
      </c>
      <c r="S91" s="280">
        <f t="shared" si="37"/>
        <v>1196.1849658204264</v>
      </c>
      <c r="T91" s="280">
        <f t="shared" si="37"/>
        <v>1222.9253107397922</v>
      </c>
      <c r="U91" s="280">
        <f t="shared" si="37"/>
        <v>1249.9109627082082</v>
      </c>
      <c r="V91" s="280">
        <f t="shared" si="37"/>
        <v>1277.1802230973638</v>
      </c>
      <c r="W91" s="280">
        <f t="shared" si="37"/>
        <v>1304.7710642576392</v>
      </c>
      <c r="X91" s="280">
        <f t="shared" si="37"/>
        <v>1332.7211778644023</v>
      </c>
      <c r="Y91" s="280">
        <f t="shared" si="37"/>
        <v>1361.0680223289044</v>
      </c>
      <c r="Z91" s="280">
        <f t="shared" si="37"/>
        <v>1389.8488693378176</v>
      </c>
      <c r="AA91" s="280">
        <f t="shared" si="37"/>
        <v>1419.1008495837143</v>
      </c>
      <c r="AB91" s="280">
        <f t="shared" si="37"/>
        <v>1448.860997747121</v>
      </c>
      <c r="AC91" s="280">
        <f t="shared" si="37"/>
        <v>1479.1662967892375</v>
      </c>
      <c r="AD91" s="280">
        <f t="shared" si="37"/>
        <v>1510.0537216128973</v>
      </c>
    </row>
    <row r="92" spans="1:30" ht="15" hidden="1" customHeight="1" outlineLevel="1" x14ac:dyDescent="0.3">
      <c r="B92" s="165" t="s">
        <v>240</v>
      </c>
      <c r="G92" s="280">
        <f>G384</f>
        <v>4.5661139999999998</v>
      </c>
      <c r="H92" s="280">
        <f t="shared" ref="H92:AD92" si="38">H384</f>
        <v>4.6682312552568002</v>
      </c>
      <c r="I92" s="280">
        <f t="shared" si="38"/>
        <v>4.7691013037780952</v>
      </c>
      <c r="J92" s="280">
        <f t="shared" si="38"/>
        <v>4.8689682969406531</v>
      </c>
      <c r="K92" s="280">
        <f t="shared" si="38"/>
        <v>4.9680713736754436</v>
      </c>
      <c r="L92" s="280">
        <f t="shared" si="38"/>
        <v>5.0666450251544575</v>
      </c>
      <c r="M92" s="280">
        <f t="shared" si="38"/>
        <v>5.1649194505052947</v>
      </c>
      <c r="N92" s="280">
        <f t="shared" si="38"/>
        <v>5.2631209040646239</v>
      </c>
      <c r="O92" s="280">
        <f t="shared" si="38"/>
        <v>5.3614720346673703</v>
      </c>
      <c r="P92" s="280">
        <f t="shared" si="38"/>
        <v>5.4601922174549493</v>
      </c>
      <c r="Q92" s="280">
        <f t="shared" si="38"/>
        <v>5.559497878673028</v>
      </c>
      <c r="R92" s="280">
        <f t="shared" si="38"/>
        <v>5.6596028139171324</v>
      </c>
      <c r="S92" s="280">
        <f t="shared" si="38"/>
        <v>5.7301118523978518</v>
      </c>
      <c r="T92" s="280">
        <f t="shared" si="38"/>
        <v>5.7990329251209518</v>
      </c>
      <c r="U92" s="280">
        <f t="shared" si="38"/>
        <v>5.8665175830336898</v>
      </c>
      <c r="V92" s="280">
        <f t="shared" si="38"/>
        <v>5.9327081330974352</v>
      </c>
      <c r="W92" s="280">
        <f t="shared" si="38"/>
        <v>5.9977379566681837</v>
      </c>
      <c r="X92" s="280">
        <f t="shared" si="38"/>
        <v>6.0617318089961554</v>
      </c>
      <c r="Y92" s="280">
        <f t="shared" si="38"/>
        <v>6.1248061004800718</v>
      </c>
      <c r="Z92" s="280">
        <f t="shared" si="38"/>
        <v>6.1870691602780292</v>
      </c>
      <c r="AA92" s="280">
        <f t="shared" si="38"/>
        <v>6.2486214828444213</v>
      </c>
      <c r="AB92" s="280">
        <f t="shared" si="38"/>
        <v>6.3095559579310141</v>
      </c>
      <c r="AC92" s="280">
        <f t="shared" si="38"/>
        <v>6.4415306473079728</v>
      </c>
      <c r="AD92" s="280">
        <f t="shared" si="38"/>
        <v>6.5760404005722979</v>
      </c>
    </row>
    <row r="93" spans="1:30" ht="15" hidden="1" customHeight="1" outlineLevel="1" x14ac:dyDescent="0.3">
      <c r="B93" s="165" t="s">
        <v>176</v>
      </c>
      <c r="G93" s="290">
        <f ca="1">SUM(G90:G92)</f>
        <v>4802.4923900000003</v>
      </c>
      <c r="H93" s="290">
        <f t="shared" ref="H93:AD93" ca="1" si="39">SUM(H90:H92)</f>
        <v>4819.9426068939338</v>
      </c>
      <c r="I93" s="290">
        <f t="shared" ca="1" si="39"/>
        <v>4830.4467351083968</v>
      </c>
      <c r="J93" s="290">
        <f t="shared" ca="1" si="39"/>
        <v>4834.0348026543816</v>
      </c>
      <c r="K93" s="290">
        <f t="shared" ca="1" si="39"/>
        <v>4830.7660513473211</v>
      </c>
      <c r="L93" s="290">
        <f t="shared" ca="1" si="39"/>
        <v>4820.7286308680732</v>
      </c>
      <c r="M93" s="290">
        <f t="shared" ca="1" si="39"/>
        <v>4804.0393344151098</v>
      </c>
      <c r="N93" s="290">
        <f t="shared" ca="1" si="39"/>
        <v>4780.8433752526107</v>
      </c>
      <c r="O93" s="290">
        <f t="shared" ca="1" si="39"/>
        <v>4751.3142035153805</v>
      </c>
      <c r="P93" s="290">
        <f t="shared" ca="1" si="39"/>
        <v>4715.6533626865894</v>
      </c>
      <c r="Q93" s="290">
        <f t="shared" ca="1" si="39"/>
        <v>4674.0903852182219</v>
      </c>
      <c r="R93" s="290">
        <f t="shared" ca="1" si="39"/>
        <v>4626.8827268169925</v>
      </c>
      <c r="S93" s="290">
        <f t="shared" ca="1" si="39"/>
        <v>4604.4393477869571</v>
      </c>
      <c r="T93" s="290">
        <f t="shared" ca="1" si="39"/>
        <v>4592.6572778642894</v>
      </c>
      <c r="U93" s="290">
        <f t="shared" ca="1" si="39"/>
        <v>4592.0719349128885</v>
      </c>
      <c r="V93" s="290">
        <f t="shared" ca="1" si="39"/>
        <v>4603.1312085621357</v>
      </c>
      <c r="W93" s="290">
        <f t="shared" ca="1" si="39"/>
        <v>4626.3170264788523</v>
      </c>
      <c r="X93" s="290">
        <f t="shared" ca="1" si="39"/>
        <v>4662.1383365913325</v>
      </c>
      <c r="Y93" s="290">
        <f t="shared" ca="1" si="39"/>
        <v>4711.1314708969749</v>
      </c>
      <c r="Z93" s="290">
        <f t="shared" ca="1" si="39"/>
        <v>4773.8605356030184</v>
      </c>
      <c r="AA93" s="290">
        <f t="shared" ca="1" si="39"/>
        <v>4850.9178278828877</v>
      </c>
      <c r="AB93" s="290">
        <f t="shared" ca="1" si="39"/>
        <v>4942.9242795545979</v>
      </c>
      <c r="AC93" s="290">
        <f t="shared" ca="1" si="39"/>
        <v>5051.9613792667633</v>
      </c>
      <c r="AD93" s="290">
        <f t="shared" ca="1" si="39"/>
        <v>5172.506260182493</v>
      </c>
    </row>
    <row r="94" spans="1:30" ht="15" hidden="1" customHeight="1" outlineLevel="1" x14ac:dyDescent="0.3">
      <c r="B94" s="165"/>
      <c r="G94" s="280"/>
      <c r="H94" s="280"/>
      <c r="I94" s="280"/>
      <c r="J94" s="280"/>
      <c r="K94" s="280"/>
      <c r="L94" s="280"/>
      <c r="M94" s="280"/>
      <c r="N94" s="280"/>
      <c r="O94" s="280"/>
      <c r="P94" s="280"/>
      <c r="Q94" s="280"/>
      <c r="R94" s="280"/>
      <c r="S94" s="280"/>
      <c r="T94" s="280"/>
      <c r="U94" s="280"/>
      <c r="V94" s="280"/>
      <c r="W94" s="280"/>
      <c r="X94" s="280"/>
      <c r="Y94" s="280"/>
      <c r="Z94" s="280"/>
      <c r="AA94" s="280"/>
      <c r="AB94" s="280"/>
      <c r="AC94" s="280"/>
      <c r="AD94" s="280"/>
    </row>
    <row r="95" spans="1:30" ht="15" hidden="1" customHeight="1" outlineLevel="1" x14ac:dyDescent="0.3">
      <c r="B95" s="165" t="s">
        <v>177</v>
      </c>
      <c r="G95" s="280">
        <f>G461</f>
        <v>552.47933222222218</v>
      </c>
      <c r="H95" s="280">
        <f t="shared" ref="H95:AD95" si="40">H461</f>
        <v>554.84844110377651</v>
      </c>
      <c r="I95" s="280">
        <f t="shared" si="40"/>
        <v>557.09113003455172</v>
      </c>
      <c r="J95" s="280">
        <f t="shared" si="40"/>
        <v>559.1922904605392</v>
      </c>
      <c r="K95" s="280">
        <f t="shared" si="40"/>
        <v>561.13785526305765</v>
      </c>
      <c r="L95" s="280">
        <f t="shared" si="40"/>
        <v>562.9147541131415</v>
      </c>
      <c r="M95" s="280">
        <f t="shared" si="40"/>
        <v>564.51087072568362</v>
      </c>
      <c r="N95" s="280">
        <f t="shared" si="40"/>
        <v>565.91500194090054</v>
      </c>
      <c r="O95" s="280">
        <f t="shared" si="40"/>
        <v>567.11681856356529</v>
      </c>
      <c r="P95" s="280">
        <f t="shared" si="40"/>
        <v>568.10682789321868</v>
      </c>
      <c r="Q95" s="280">
        <f t="shared" si="40"/>
        <v>568.87633788122514</v>
      </c>
      <c r="R95" s="280">
        <f t="shared" si="40"/>
        <v>569.41742285310602</v>
      </c>
      <c r="S95" s="280">
        <f t="shared" si="40"/>
        <v>567.57806776466452</v>
      </c>
      <c r="T95" s="280">
        <f t="shared" si="40"/>
        <v>565.61277417929909</v>
      </c>
      <c r="U95" s="280">
        <f t="shared" si="40"/>
        <v>563.51275761400859</v>
      </c>
      <c r="V95" s="280">
        <f t="shared" si="40"/>
        <v>561.2697635410949</v>
      </c>
      <c r="W95" s="280">
        <f t="shared" si="40"/>
        <v>558.87604328310647</v>
      </c>
      <c r="X95" s="280">
        <f t="shared" si="40"/>
        <v>556.32433088575306</v>
      </c>
      <c r="Y95" s="280">
        <f t="shared" si="40"/>
        <v>553.60782092955765</v>
      </c>
      <c r="Z95" s="280">
        <f t="shared" si="40"/>
        <v>550.72014724254757</v>
      </c>
      <c r="AA95" s="280">
        <f t="shared" si="40"/>
        <v>547.65536247776424</v>
      </c>
      <c r="AB95" s="280">
        <f t="shared" si="40"/>
        <v>544.40791852078848</v>
      </c>
      <c r="AC95" s="280">
        <f t="shared" si="40"/>
        <v>540.97264769384185</v>
      </c>
      <c r="AD95" s="280">
        <f t="shared" si="40"/>
        <v>537.34474472433351</v>
      </c>
    </row>
    <row r="96" spans="1:30" ht="15" hidden="1" customHeight="1" outlineLevel="1" thickBot="1" x14ac:dyDescent="0.35">
      <c r="B96" s="165"/>
      <c r="G96" s="279"/>
      <c r="H96" s="279"/>
      <c r="I96" s="279"/>
      <c r="J96" s="279"/>
      <c r="K96" s="279"/>
      <c r="L96" s="279"/>
      <c r="M96" s="279"/>
      <c r="N96" s="279"/>
      <c r="O96" s="279"/>
      <c r="P96" s="279"/>
      <c r="Q96" s="279"/>
      <c r="R96" s="279"/>
      <c r="S96" s="279"/>
      <c r="T96" s="279"/>
      <c r="U96" s="279"/>
      <c r="V96" s="279"/>
      <c r="W96" s="279"/>
      <c r="X96" s="279"/>
      <c r="Y96" s="279"/>
      <c r="Z96" s="279"/>
      <c r="AA96" s="279"/>
      <c r="AB96" s="279"/>
      <c r="AC96" s="279"/>
      <c r="AD96" s="279"/>
    </row>
    <row r="97" spans="2:30" ht="15" hidden="1" customHeight="1" outlineLevel="1" x14ac:dyDescent="0.3">
      <c r="B97" s="165" t="s">
        <v>178</v>
      </c>
      <c r="G97" s="285">
        <f ca="1">G95+G93</f>
        <v>5354.9717222222225</v>
      </c>
      <c r="H97" s="285">
        <f t="shared" ref="H97:AD97" ca="1" si="41">H95+H93</f>
        <v>5374.7910479977099</v>
      </c>
      <c r="I97" s="285">
        <f t="shared" ca="1" si="41"/>
        <v>5387.5378651429482</v>
      </c>
      <c r="J97" s="285">
        <f t="shared" ca="1" si="41"/>
        <v>5393.2270931149205</v>
      </c>
      <c r="K97" s="285">
        <f t="shared" ca="1" si="41"/>
        <v>5391.9039066103787</v>
      </c>
      <c r="L97" s="285">
        <f t="shared" ca="1" si="41"/>
        <v>5383.6433849812147</v>
      </c>
      <c r="M97" s="285">
        <f t="shared" ca="1" si="41"/>
        <v>5368.550205140793</v>
      </c>
      <c r="N97" s="285">
        <f t="shared" ca="1" si="41"/>
        <v>5346.7583771935115</v>
      </c>
      <c r="O97" s="285">
        <f t="shared" ca="1" si="41"/>
        <v>5318.4310220789457</v>
      </c>
      <c r="P97" s="285">
        <f t="shared" ca="1" si="41"/>
        <v>5283.7601905798083</v>
      </c>
      <c r="Q97" s="285">
        <f t="shared" ca="1" si="41"/>
        <v>5242.9667230994473</v>
      </c>
      <c r="R97" s="285">
        <f t="shared" ca="1" si="41"/>
        <v>5196.3001496700981</v>
      </c>
      <c r="S97" s="285">
        <f t="shared" ca="1" si="41"/>
        <v>5172.0174155516215</v>
      </c>
      <c r="T97" s="285">
        <f t="shared" ca="1" si="41"/>
        <v>5158.2700520435883</v>
      </c>
      <c r="U97" s="285">
        <f t="shared" ca="1" si="41"/>
        <v>5155.584692526897</v>
      </c>
      <c r="V97" s="285">
        <f t="shared" ca="1" si="41"/>
        <v>5164.4009721032307</v>
      </c>
      <c r="W97" s="285">
        <f t="shared" ca="1" si="41"/>
        <v>5185.1930697619591</v>
      </c>
      <c r="X97" s="285">
        <f t="shared" ca="1" si="41"/>
        <v>5218.4626674770852</v>
      </c>
      <c r="Y97" s="285">
        <f t="shared" ca="1" si="41"/>
        <v>5264.7392918265323</v>
      </c>
      <c r="Z97" s="285">
        <f t="shared" ca="1" si="41"/>
        <v>5324.5806828455661</v>
      </c>
      <c r="AA97" s="285">
        <f t="shared" ca="1" si="41"/>
        <v>5398.573190360652</v>
      </c>
      <c r="AB97" s="285">
        <f t="shared" ca="1" si="41"/>
        <v>5487.3321980753863</v>
      </c>
      <c r="AC97" s="285">
        <f t="shared" ca="1" si="41"/>
        <v>5592.9340269606055</v>
      </c>
      <c r="AD97" s="285">
        <f t="shared" ca="1" si="41"/>
        <v>5709.8510049068263</v>
      </c>
    </row>
    <row r="98" spans="2:30" ht="15" hidden="1" customHeight="1" outlineLevel="1" x14ac:dyDescent="0.3">
      <c r="G98" s="279"/>
      <c r="H98" s="279"/>
      <c r="I98" s="279"/>
      <c r="J98" s="279"/>
      <c r="K98" s="279"/>
      <c r="L98" s="279"/>
      <c r="M98" s="279"/>
      <c r="N98" s="279"/>
      <c r="O98" s="279"/>
      <c r="P98" s="279"/>
      <c r="Q98" s="279"/>
      <c r="R98" s="279"/>
      <c r="S98" s="279"/>
      <c r="T98" s="279"/>
      <c r="U98" s="279"/>
      <c r="V98" s="279"/>
      <c r="W98" s="279"/>
      <c r="X98" s="279"/>
      <c r="Y98" s="279"/>
      <c r="Z98" s="279"/>
      <c r="AA98" s="279"/>
      <c r="AB98" s="279"/>
      <c r="AC98" s="279"/>
      <c r="AD98" s="279"/>
    </row>
    <row r="99" spans="2:30" ht="15" hidden="1" customHeight="1" outlineLevel="1" x14ac:dyDescent="0.3">
      <c r="G99" s="279"/>
      <c r="H99" s="279"/>
      <c r="I99" s="279"/>
      <c r="J99" s="279"/>
      <c r="K99" s="279"/>
      <c r="L99" s="279"/>
      <c r="M99" s="279"/>
      <c r="N99" s="279"/>
      <c r="O99" s="279"/>
      <c r="P99" s="279"/>
      <c r="Q99" s="279"/>
      <c r="R99" s="279"/>
      <c r="S99" s="279"/>
      <c r="T99" s="279"/>
      <c r="U99" s="279"/>
      <c r="V99" s="279"/>
      <c r="W99" s="279"/>
      <c r="X99" s="279"/>
      <c r="Y99" s="279"/>
      <c r="Z99" s="279"/>
      <c r="AA99" s="279"/>
      <c r="AB99" s="279"/>
      <c r="AC99" s="279"/>
      <c r="AD99" s="279"/>
    </row>
    <row r="100" spans="2:30" ht="15" hidden="1" customHeight="1" outlineLevel="1" x14ac:dyDescent="0.3">
      <c r="B100" s="172" t="s">
        <v>180</v>
      </c>
      <c r="G100" s="279"/>
      <c r="H100" s="279"/>
      <c r="I100" s="279"/>
      <c r="J100" s="279"/>
      <c r="K100" s="279"/>
      <c r="L100" s="279"/>
      <c r="M100" s="279"/>
      <c r="N100" s="279"/>
      <c r="O100" s="279"/>
      <c r="P100" s="279"/>
      <c r="Q100" s="279"/>
      <c r="R100" s="279"/>
      <c r="S100" s="279"/>
      <c r="T100" s="279"/>
      <c r="U100" s="279"/>
      <c r="V100" s="279"/>
      <c r="W100" s="279"/>
      <c r="X100" s="279"/>
      <c r="Y100" s="279"/>
      <c r="Z100" s="279"/>
      <c r="AA100" s="279"/>
      <c r="AB100" s="279"/>
      <c r="AC100" s="279"/>
      <c r="AD100" s="279"/>
    </row>
    <row r="101" spans="2:30" ht="15" hidden="1" customHeight="1" outlineLevel="1" x14ac:dyDescent="0.3">
      <c r="G101" s="279"/>
      <c r="H101" s="279"/>
      <c r="I101" s="279"/>
      <c r="J101" s="279"/>
      <c r="K101" s="279"/>
      <c r="L101" s="279"/>
      <c r="M101" s="279"/>
      <c r="N101" s="279"/>
      <c r="O101" s="279"/>
      <c r="P101" s="279"/>
      <c r="Q101" s="279"/>
      <c r="R101" s="279"/>
      <c r="S101" s="279"/>
      <c r="T101" s="279"/>
      <c r="U101" s="279"/>
      <c r="V101" s="279"/>
      <c r="W101" s="279"/>
      <c r="X101" s="279"/>
      <c r="Y101" s="279"/>
      <c r="Z101" s="279"/>
      <c r="AA101" s="279"/>
      <c r="AB101" s="279"/>
      <c r="AC101" s="279"/>
      <c r="AD101" s="279"/>
    </row>
    <row r="102" spans="2:30" ht="15" hidden="1" customHeight="1" outlineLevel="1" x14ac:dyDescent="0.3">
      <c r="B102" s="165" t="s">
        <v>181</v>
      </c>
      <c r="G102" s="280">
        <f>G382</f>
        <v>397.25191799999999</v>
      </c>
      <c r="H102" s="280">
        <f t="shared" ref="H102:AD102" si="42">H382</f>
        <v>406.13611920734161</v>
      </c>
      <c r="I102" s="280">
        <f t="shared" si="42"/>
        <v>414.9118134286943</v>
      </c>
      <c r="J102" s="280">
        <f t="shared" si="42"/>
        <v>423.60024183383678</v>
      </c>
      <c r="K102" s="280">
        <f t="shared" si="42"/>
        <v>432.22220950976356</v>
      </c>
      <c r="L102" s="280">
        <f t="shared" si="42"/>
        <v>440.7981171884378</v>
      </c>
      <c r="M102" s="280">
        <f t="shared" si="42"/>
        <v>449.34799219396064</v>
      </c>
      <c r="N102" s="280">
        <f t="shared" si="42"/>
        <v>457.89151865362226</v>
      </c>
      <c r="O102" s="280">
        <f t="shared" si="42"/>
        <v>466.4480670160612</v>
      </c>
      <c r="P102" s="280">
        <f t="shared" si="42"/>
        <v>475.03672291858055</v>
      </c>
      <c r="Q102" s="280">
        <f t="shared" si="42"/>
        <v>483.67631544455344</v>
      </c>
      <c r="R102" s="280">
        <f t="shared" si="42"/>
        <v>492.38544481079043</v>
      </c>
      <c r="S102" s="280">
        <f t="shared" si="42"/>
        <v>500.08248893653973</v>
      </c>
      <c r="T102" s="280">
        <f t="shared" si="42"/>
        <v>507.71124997487516</v>
      </c>
      <c r="U102" s="280">
        <f t="shared" si="42"/>
        <v>515.28587430357754</v>
      </c>
      <c r="V102" s="280">
        <f t="shared" si="42"/>
        <v>522.81990422921137</v>
      </c>
      <c r="W102" s="280">
        <f t="shared" si="42"/>
        <v>530.32630353697618</v>
      </c>
      <c r="X102" s="280">
        <f t="shared" si="42"/>
        <v>537.81748177689292</v>
      </c>
      <c r="Y102" s="280">
        <f t="shared" si="42"/>
        <v>545.30531733306441</v>
      </c>
      <c r="Z102" s="280">
        <f t="shared" si="42"/>
        <v>552.80117932049347</v>
      </c>
      <c r="AA102" s="280">
        <f t="shared" si="42"/>
        <v>560.31594835176338</v>
      </c>
      <c r="AB102" s="280">
        <f t="shared" si="42"/>
        <v>567.8600362137912</v>
      </c>
      <c r="AC102" s="280">
        <f t="shared" si="42"/>
        <v>579.73775825771759</v>
      </c>
      <c r="AD102" s="280">
        <f t="shared" si="42"/>
        <v>591.84363605150668</v>
      </c>
    </row>
    <row r="103" spans="2:30" ht="15" hidden="1" customHeight="1" outlineLevel="1" x14ac:dyDescent="0.3">
      <c r="B103" s="165" t="s">
        <v>190</v>
      </c>
      <c r="G103" s="280">
        <f>G383</f>
        <v>34.607333333333337</v>
      </c>
      <c r="H103" s="280">
        <f t="shared" ref="H103:AD103" si="43">H383</f>
        <v>35.603666666666669</v>
      </c>
      <c r="I103" s="280">
        <f t="shared" si="43"/>
        <v>36.6</v>
      </c>
      <c r="J103" s="280">
        <f t="shared" si="43"/>
        <v>37.596333333333341</v>
      </c>
      <c r="K103" s="280">
        <f t="shared" si="43"/>
        <v>38.592666666666673</v>
      </c>
      <c r="L103" s="280">
        <f t="shared" si="43"/>
        <v>39.589000000000006</v>
      </c>
      <c r="M103" s="280">
        <f t="shared" si="43"/>
        <v>40.585333333333338</v>
      </c>
      <c r="N103" s="280">
        <f t="shared" si="43"/>
        <v>41.581666666666671</v>
      </c>
      <c r="O103" s="280">
        <f t="shared" si="43"/>
        <v>42.578000000000003</v>
      </c>
      <c r="P103" s="280">
        <f t="shared" si="43"/>
        <v>43.574333333333335</v>
      </c>
      <c r="Q103" s="280">
        <f t="shared" si="43"/>
        <v>44.570666666666675</v>
      </c>
      <c r="R103" s="280">
        <f t="shared" si="43"/>
        <v>45.567000000000007</v>
      </c>
      <c r="S103" s="280">
        <f t="shared" si="43"/>
        <v>46.309166666666663</v>
      </c>
      <c r="T103" s="280">
        <f t="shared" si="43"/>
        <v>46.804537499999995</v>
      </c>
      <c r="U103" s="280">
        <f t="shared" si="43"/>
        <v>47.30727916666666</v>
      </c>
      <c r="V103" s="280">
        <f t="shared" si="43"/>
        <v>47.81002083333334</v>
      </c>
      <c r="W103" s="280">
        <f t="shared" si="43"/>
        <v>48.312762499999998</v>
      </c>
      <c r="X103" s="280">
        <f t="shared" si="43"/>
        <v>48.81550416666667</v>
      </c>
      <c r="Y103" s="280">
        <f t="shared" si="43"/>
        <v>49.318245833333336</v>
      </c>
      <c r="Z103" s="280">
        <f t="shared" si="43"/>
        <v>49.820987500000001</v>
      </c>
      <c r="AA103" s="280">
        <f t="shared" si="43"/>
        <v>50.323729166666674</v>
      </c>
      <c r="AB103" s="280">
        <f t="shared" si="43"/>
        <v>50.826470833333339</v>
      </c>
      <c r="AC103" s="280">
        <f t="shared" si="43"/>
        <v>51.329212500000011</v>
      </c>
      <c r="AD103" s="280">
        <f t="shared" si="43"/>
        <v>51.831954166666662</v>
      </c>
    </row>
    <row r="104" spans="2:30" ht="15" hidden="1" customHeight="1" outlineLevel="1" x14ac:dyDescent="0.3">
      <c r="B104" s="165" t="s">
        <v>191</v>
      </c>
      <c r="G104" s="280">
        <f>G412</f>
        <v>3013.6352400000001</v>
      </c>
      <c r="H104" s="280">
        <f t="shared" ref="H104:AD104" si="44">H412</f>
        <v>3081.0326284694875</v>
      </c>
      <c r="I104" s="280">
        <f t="shared" si="44"/>
        <v>3147.6068604935417</v>
      </c>
      <c r="J104" s="280">
        <f t="shared" si="44"/>
        <v>3213.5190759808306</v>
      </c>
      <c r="K104" s="280">
        <f t="shared" si="44"/>
        <v>3278.927106625792</v>
      </c>
      <c r="L104" s="280">
        <f t="shared" si="44"/>
        <v>3343.9857166019419</v>
      </c>
      <c r="M104" s="280">
        <f t="shared" si="44"/>
        <v>3408.8468373334945</v>
      </c>
      <c r="N104" s="280">
        <f t="shared" si="44"/>
        <v>3473.6597966826512</v>
      </c>
      <c r="O104" s="280">
        <f t="shared" si="44"/>
        <v>3538.5715428804638</v>
      </c>
      <c r="P104" s="280">
        <f t="shared" si="44"/>
        <v>3603.7268635202668</v>
      </c>
      <c r="Q104" s="280">
        <f t="shared" si="44"/>
        <v>3669.2685999241985</v>
      </c>
      <c r="R104" s="280">
        <f t="shared" si="44"/>
        <v>3735.3378571853054</v>
      </c>
      <c r="S104" s="280">
        <f t="shared" si="44"/>
        <v>3820.0745682652328</v>
      </c>
      <c r="T104" s="280">
        <f t="shared" si="44"/>
        <v>3905.4711536528844</v>
      </c>
      <c r="U104" s="280">
        <f t="shared" si="44"/>
        <v>3991.6511389713746</v>
      </c>
      <c r="V104" s="280">
        <f t="shared" si="44"/>
        <v>4078.7368415044843</v>
      </c>
      <c r="W104" s="280">
        <f t="shared" si="44"/>
        <v>4166.8495277905258</v>
      </c>
      <c r="X104" s="280">
        <f t="shared" si="44"/>
        <v>4256.1095680185754</v>
      </c>
      <c r="Y104" s="280">
        <f t="shared" si="44"/>
        <v>4346.6365874374678</v>
      </c>
      <c r="Z104" s="280">
        <f t="shared" si="44"/>
        <v>4438.5496149820619</v>
      </c>
      <c r="AA104" s="280">
        <f t="shared" si="44"/>
        <v>4531.9672293157328</v>
      </c>
      <c r="AB104" s="280">
        <f t="shared" si="44"/>
        <v>4627.0077024827415</v>
      </c>
      <c r="AC104" s="280">
        <f t="shared" si="44"/>
        <v>4723.7891413591778</v>
      </c>
      <c r="AD104" s="280">
        <f t="shared" si="44"/>
        <v>4822.4296270863488</v>
      </c>
    </row>
    <row r="105" spans="2:30" ht="15" hidden="1" customHeight="1" outlineLevel="1" x14ac:dyDescent="0.3">
      <c r="B105" s="165" t="s">
        <v>182</v>
      </c>
      <c r="G105" s="290">
        <f>SUM(G102:G104)</f>
        <v>3445.4944913333334</v>
      </c>
      <c r="H105" s="290">
        <f t="shared" ref="H105:AD105" si="45">SUM(H102:H104)</f>
        <v>3522.7724143434957</v>
      </c>
      <c r="I105" s="290">
        <f t="shared" si="45"/>
        <v>3599.1186739222362</v>
      </c>
      <c r="J105" s="290">
        <f t="shared" si="45"/>
        <v>3674.7156511480007</v>
      </c>
      <c r="K105" s="290">
        <f t="shared" si="45"/>
        <v>3749.7419828022221</v>
      </c>
      <c r="L105" s="290">
        <f t="shared" si="45"/>
        <v>3824.3728337903799</v>
      </c>
      <c r="M105" s="290">
        <f t="shared" si="45"/>
        <v>3898.7801628607886</v>
      </c>
      <c r="N105" s="290">
        <f t="shared" si="45"/>
        <v>3973.13298200294</v>
      </c>
      <c r="O105" s="290">
        <f t="shared" si="45"/>
        <v>4047.5976098965248</v>
      </c>
      <c r="P105" s="290">
        <f t="shared" si="45"/>
        <v>4122.3379197721806</v>
      </c>
      <c r="Q105" s="290">
        <f t="shared" si="45"/>
        <v>4197.5155820354184</v>
      </c>
      <c r="R105" s="290">
        <f t="shared" si="45"/>
        <v>4273.2903019960959</v>
      </c>
      <c r="S105" s="290">
        <f t="shared" si="45"/>
        <v>4366.4662238684396</v>
      </c>
      <c r="T105" s="290">
        <f t="shared" si="45"/>
        <v>4459.9869411277596</v>
      </c>
      <c r="U105" s="290">
        <f t="shared" si="45"/>
        <v>4554.2442924416191</v>
      </c>
      <c r="V105" s="290">
        <f t="shared" si="45"/>
        <v>4649.3667665670291</v>
      </c>
      <c r="W105" s="290">
        <f t="shared" si="45"/>
        <v>4745.488593827502</v>
      </c>
      <c r="X105" s="290">
        <f t="shared" si="45"/>
        <v>4842.7425539621345</v>
      </c>
      <c r="Y105" s="290">
        <f t="shared" si="45"/>
        <v>4941.2601506038654</v>
      </c>
      <c r="Z105" s="290">
        <f t="shared" si="45"/>
        <v>5041.1717818025554</v>
      </c>
      <c r="AA105" s="290">
        <f t="shared" si="45"/>
        <v>5142.6069068341631</v>
      </c>
      <c r="AB105" s="290">
        <f t="shared" si="45"/>
        <v>5245.6942095298664</v>
      </c>
      <c r="AC105" s="290">
        <f t="shared" si="45"/>
        <v>5354.856112116895</v>
      </c>
      <c r="AD105" s="290">
        <f t="shared" si="45"/>
        <v>5466.1052173045218</v>
      </c>
    </row>
    <row r="106" spans="2:30" ht="15" hidden="1" customHeight="1" outlineLevel="1" x14ac:dyDescent="0.3">
      <c r="B106" s="165"/>
      <c r="G106" s="279"/>
      <c r="H106" s="279"/>
      <c r="I106" s="279"/>
      <c r="J106" s="279"/>
      <c r="K106" s="279"/>
      <c r="L106" s="279"/>
      <c r="M106" s="279"/>
      <c r="N106" s="279"/>
      <c r="O106" s="279"/>
      <c r="P106" s="279"/>
      <c r="Q106" s="279"/>
      <c r="R106" s="279"/>
      <c r="S106" s="279"/>
      <c r="T106" s="279"/>
      <c r="U106" s="279"/>
      <c r="V106" s="279"/>
      <c r="W106" s="279"/>
      <c r="X106" s="279"/>
      <c r="Y106" s="279"/>
      <c r="Z106" s="279"/>
      <c r="AA106" s="279"/>
      <c r="AB106" s="279"/>
      <c r="AC106" s="279"/>
      <c r="AD106" s="279"/>
    </row>
    <row r="107" spans="2:30" ht="15" hidden="1" customHeight="1" outlineLevel="1" x14ac:dyDescent="0.3">
      <c r="G107" s="279"/>
      <c r="H107" s="279"/>
      <c r="I107" s="279"/>
      <c r="J107" s="279"/>
      <c r="K107" s="279"/>
      <c r="L107" s="279"/>
      <c r="M107" s="279"/>
      <c r="N107" s="279"/>
      <c r="O107" s="279"/>
      <c r="P107" s="279"/>
      <c r="Q107" s="279"/>
      <c r="R107" s="279"/>
      <c r="S107" s="279"/>
      <c r="T107" s="279"/>
      <c r="U107" s="279"/>
      <c r="V107" s="279"/>
      <c r="W107" s="279"/>
      <c r="X107" s="279"/>
      <c r="Y107" s="279"/>
      <c r="Z107" s="279"/>
      <c r="AA107" s="279"/>
      <c r="AB107" s="279"/>
      <c r="AC107" s="279"/>
      <c r="AD107" s="279"/>
    </row>
    <row r="108" spans="2:30" ht="15" hidden="1" customHeight="1" outlineLevel="1" x14ac:dyDescent="0.3">
      <c r="B108" s="172" t="s">
        <v>183</v>
      </c>
      <c r="G108" s="279"/>
      <c r="H108" s="279"/>
      <c r="I108" s="279"/>
      <c r="J108" s="279"/>
      <c r="K108" s="279"/>
      <c r="L108" s="279"/>
      <c r="M108" s="279"/>
      <c r="N108" s="279"/>
      <c r="O108" s="279"/>
      <c r="P108" s="279"/>
      <c r="Q108" s="279"/>
      <c r="R108" s="279"/>
      <c r="S108" s="279"/>
      <c r="T108" s="279"/>
      <c r="U108" s="279"/>
      <c r="V108" s="279"/>
      <c r="W108" s="279"/>
      <c r="X108" s="279"/>
      <c r="Y108" s="279"/>
      <c r="Z108" s="279"/>
      <c r="AA108" s="279"/>
      <c r="AB108" s="279"/>
      <c r="AC108" s="279"/>
      <c r="AD108" s="279"/>
    </row>
    <row r="109" spans="2:30" ht="15" hidden="1" customHeight="1" outlineLevel="1" x14ac:dyDescent="0.3">
      <c r="G109" s="279"/>
      <c r="H109" s="279"/>
      <c r="I109" s="279"/>
      <c r="J109" s="279"/>
      <c r="K109" s="279"/>
      <c r="L109" s="279"/>
      <c r="M109" s="279"/>
      <c r="N109" s="279"/>
      <c r="O109" s="279"/>
      <c r="P109" s="279"/>
      <c r="Q109" s="279"/>
      <c r="R109" s="279"/>
      <c r="S109" s="279"/>
      <c r="T109" s="279"/>
      <c r="U109" s="279"/>
      <c r="V109" s="279"/>
      <c r="W109" s="279"/>
      <c r="X109" s="279"/>
      <c r="Y109" s="279"/>
      <c r="Z109" s="279"/>
      <c r="AA109" s="279"/>
      <c r="AB109" s="279"/>
      <c r="AC109" s="279"/>
      <c r="AD109" s="279"/>
    </row>
    <row r="110" spans="2:30" ht="15" hidden="1" customHeight="1" outlineLevel="1" x14ac:dyDescent="0.3">
      <c r="B110" s="174" t="s">
        <v>193</v>
      </c>
      <c r="G110" s="280">
        <f ca="1">G483</f>
        <v>8000</v>
      </c>
      <c r="H110" s="280">
        <f t="shared" ref="H110:AD110" ca="1" si="46">H483</f>
        <v>8000</v>
      </c>
      <c r="I110" s="280">
        <f t="shared" ca="1" si="46"/>
        <v>8000</v>
      </c>
      <c r="J110" s="280">
        <f t="shared" ca="1" si="46"/>
        <v>8000</v>
      </c>
      <c r="K110" s="280">
        <f t="shared" ca="1" si="46"/>
        <v>8000</v>
      </c>
      <c r="L110" s="280">
        <f t="shared" ca="1" si="46"/>
        <v>8000</v>
      </c>
      <c r="M110" s="280">
        <f t="shared" ca="1" si="46"/>
        <v>8000</v>
      </c>
      <c r="N110" s="280">
        <f t="shared" ca="1" si="46"/>
        <v>8000</v>
      </c>
      <c r="O110" s="280">
        <f t="shared" ca="1" si="46"/>
        <v>8000</v>
      </c>
      <c r="P110" s="280">
        <f t="shared" ca="1" si="46"/>
        <v>8000</v>
      </c>
      <c r="Q110" s="280">
        <f t="shared" ca="1" si="46"/>
        <v>8000</v>
      </c>
      <c r="R110" s="280">
        <f t="shared" ca="1" si="46"/>
        <v>8000</v>
      </c>
      <c r="S110" s="280">
        <f t="shared" ca="1" si="46"/>
        <v>8000</v>
      </c>
      <c r="T110" s="280">
        <f t="shared" ca="1" si="46"/>
        <v>8000</v>
      </c>
      <c r="U110" s="280">
        <f t="shared" ca="1" si="46"/>
        <v>8000</v>
      </c>
      <c r="V110" s="280">
        <f t="shared" ca="1" si="46"/>
        <v>8000</v>
      </c>
      <c r="W110" s="280">
        <f t="shared" ca="1" si="46"/>
        <v>8000</v>
      </c>
      <c r="X110" s="280">
        <f t="shared" ca="1" si="46"/>
        <v>8000</v>
      </c>
      <c r="Y110" s="280">
        <f t="shared" ca="1" si="46"/>
        <v>8000</v>
      </c>
      <c r="Z110" s="280">
        <f t="shared" ca="1" si="46"/>
        <v>8000</v>
      </c>
      <c r="AA110" s="280">
        <f t="shared" ca="1" si="46"/>
        <v>8000</v>
      </c>
      <c r="AB110" s="280">
        <f t="shared" ca="1" si="46"/>
        <v>8000</v>
      </c>
      <c r="AC110" s="280">
        <f t="shared" ca="1" si="46"/>
        <v>8000</v>
      </c>
      <c r="AD110" s="280">
        <f t="shared" ca="1" si="46"/>
        <v>8000</v>
      </c>
    </row>
    <row r="111" spans="2:30" ht="15" hidden="1" customHeight="1" outlineLevel="1" x14ac:dyDescent="0.3">
      <c r="B111" s="165" t="s">
        <v>184</v>
      </c>
      <c r="G111" s="280">
        <f>G489</f>
        <v>-6090.5227691111113</v>
      </c>
      <c r="H111" s="280">
        <f t="shared" ref="H111:AD111" ca="1" si="47">H489</f>
        <v>-6147.9813663457853</v>
      </c>
      <c r="I111" s="280">
        <f t="shared" ca="1" si="47"/>
        <v>-6211.5808087792884</v>
      </c>
      <c r="J111" s="280">
        <f t="shared" ca="1" si="47"/>
        <v>-6281.4885580330802</v>
      </c>
      <c r="K111" s="280">
        <f t="shared" ca="1" si="47"/>
        <v>-6357.8380761918443</v>
      </c>
      <c r="L111" s="280">
        <f t="shared" ca="1" si="47"/>
        <v>-6440.7294488091657</v>
      </c>
      <c r="M111" s="280">
        <f t="shared" ca="1" si="47"/>
        <v>-6530.2299577199947</v>
      </c>
      <c r="N111" s="280">
        <f t="shared" ca="1" si="47"/>
        <v>-6626.374604809429</v>
      </c>
      <c r="O111" s="280">
        <f t="shared" ca="1" si="47"/>
        <v>-6729.16658781758</v>
      </c>
      <c r="P111" s="280">
        <f t="shared" ca="1" si="47"/>
        <v>-6838.5777291923741</v>
      </c>
      <c r="Q111" s="280">
        <f t="shared" ca="1" si="47"/>
        <v>-6954.548858935972</v>
      </c>
      <c r="R111" s="280">
        <f t="shared" ca="1" si="47"/>
        <v>-7076.9901523259987</v>
      </c>
      <c r="S111" s="280">
        <f t="shared" ca="1" si="47"/>
        <v>-7194.448808316818</v>
      </c>
      <c r="T111" s="280">
        <f t="shared" ca="1" si="47"/>
        <v>-7301.7168890841713</v>
      </c>
      <c r="U111" s="280">
        <f t="shared" ca="1" si="47"/>
        <v>-7398.6595999147221</v>
      </c>
      <c r="V111" s="280">
        <f t="shared" ca="1" si="47"/>
        <v>-7484.9657944637993</v>
      </c>
      <c r="W111" s="280">
        <f t="shared" ca="1" si="47"/>
        <v>-7560.2955240655438</v>
      </c>
      <c r="X111" s="280">
        <f t="shared" ca="1" si="47"/>
        <v>-7624.2798864850502</v>
      </c>
      <c r="Y111" s="280">
        <f t="shared" ca="1" si="47"/>
        <v>-7676.5208587773323</v>
      </c>
      <c r="Z111" s="280">
        <f t="shared" ca="1" si="47"/>
        <v>-7716.5910989569893</v>
      </c>
      <c r="AA111" s="280">
        <f t="shared" ca="1" si="47"/>
        <v>-7744.0337164735101</v>
      </c>
      <c r="AB111" s="280">
        <f t="shared" ca="1" si="47"/>
        <v>-7758.3620114544792</v>
      </c>
      <c r="AC111" s="280">
        <f t="shared" ca="1" si="47"/>
        <v>-7761.9220851562895</v>
      </c>
      <c r="AD111" s="280">
        <f t="shared" ca="1" si="47"/>
        <v>-7756.2542123976946</v>
      </c>
    </row>
    <row r="112" spans="2:30" ht="15" hidden="1" customHeight="1" outlineLevel="1" x14ac:dyDescent="0.3">
      <c r="B112" s="165" t="s">
        <v>185</v>
      </c>
      <c r="G112" s="290">
        <f ca="1">SUM(G110:G111)</f>
        <v>1909.4772308888887</v>
      </c>
      <c r="H112" s="290">
        <f t="shared" ref="H112:AD112" ca="1" si="48">SUM(H110:H111)</f>
        <v>1852.0186336542147</v>
      </c>
      <c r="I112" s="290">
        <f t="shared" ca="1" si="48"/>
        <v>1788.4191912207116</v>
      </c>
      <c r="J112" s="290">
        <f t="shared" ca="1" si="48"/>
        <v>1718.5114419669198</v>
      </c>
      <c r="K112" s="290">
        <f t="shared" ca="1" si="48"/>
        <v>1642.1619238081557</v>
      </c>
      <c r="L112" s="290">
        <f t="shared" ca="1" si="48"/>
        <v>1559.2705511908343</v>
      </c>
      <c r="M112" s="290">
        <f t="shared" ca="1" si="48"/>
        <v>1469.7700422800053</v>
      </c>
      <c r="N112" s="290">
        <f t="shared" ca="1" si="48"/>
        <v>1373.625395190571</v>
      </c>
      <c r="O112" s="290">
        <f t="shared" ca="1" si="48"/>
        <v>1270.83341218242</v>
      </c>
      <c r="P112" s="290">
        <f t="shared" ca="1" si="48"/>
        <v>1161.4222708076259</v>
      </c>
      <c r="Q112" s="290">
        <f t="shared" ca="1" si="48"/>
        <v>1045.451141064028</v>
      </c>
      <c r="R112" s="290">
        <f t="shared" ca="1" si="48"/>
        <v>923.00984767400132</v>
      </c>
      <c r="S112" s="290">
        <f t="shared" ca="1" si="48"/>
        <v>805.55119168318197</v>
      </c>
      <c r="T112" s="290">
        <f t="shared" ca="1" si="48"/>
        <v>698.28311091582873</v>
      </c>
      <c r="U112" s="290">
        <f t="shared" ca="1" si="48"/>
        <v>601.34040008527791</v>
      </c>
      <c r="V112" s="290">
        <f t="shared" ca="1" si="48"/>
        <v>515.03420553620072</v>
      </c>
      <c r="W112" s="290">
        <f t="shared" ca="1" si="48"/>
        <v>439.70447593445624</v>
      </c>
      <c r="X112" s="290">
        <f t="shared" ca="1" si="48"/>
        <v>375.72011351494984</v>
      </c>
      <c r="Y112" s="290">
        <f t="shared" ca="1" si="48"/>
        <v>323.47914122266775</v>
      </c>
      <c r="Z112" s="290">
        <f t="shared" ca="1" si="48"/>
        <v>283.4089010430107</v>
      </c>
      <c r="AA112" s="290">
        <f t="shared" ca="1" si="48"/>
        <v>255.96628352648986</v>
      </c>
      <c r="AB112" s="290">
        <f t="shared" ca="1" si="48"/>
        <v>241.63798854552078</v>
      </c>
      <c r="AC112" s="290">
        <f t="shared" ca="1" si="48"/>
        <v>238.07791484371046</v>
      </c>
      <c r="AD112" s="290">
        <f t="shared" ca="1" si="48"/>
        <v>243.74578760230543</v>
      </c>
    </row>
    <row r="113" spans="1:30" ht="15" hidden="1" customHeight="1" outlineLevel="1" x14ac:dyDescent="0.3">
      <c r="B113" s="165"/>
      <c r="G113" s="279"/>
      <c r="H113" s="279"/>
      <c r="I113" s="279"/>
      <c r="J113" s="279"/>
      <c r="K113" s="279"/>
      <c r="L113" s="279"/>
      <c r="M113" s="279"/>
      <c r="N113" s="279"/>
      <c r="O113" s="279"/>
      <c r="P113" s="279"/>
      <c r="Q113" s="279"/>
      <c r="R113" s="279"/>
      <c r="S113" s="279"/>
      <c r="T113" s="279"/>
      <c r="U113" s="279"/>
      <c r="V113" s="279"/>
      <c r="W113" s="279"/>
      <c r="X113" s="279"/>
      <c r="Y113" s="279"/>
      <c r="Z113" s="279"/>
      <c r="AA113" s="279"/>
      <c r="AB113" s="279"/>
      <c r="AC113" s="279"/>
      <c r="AD113" s="279"/>
    </row>
    <row r="114" spans="1:30" ht="15" hidden="1" customHeight="1" outlineLevel="1" thickBot="1" x14ac:dyDescent="0.35">
      <c r="G114" s="279"/>
      <c r="H114" s="279"/>
      <c r="I114" s="279"/>
      <c r="J114" s="279"/>
      <c r="K114" s="279"/>
      <c r="L114" s="279"/>
      <c r="M114" s="279"/>
      <c r="N114" s="279"/>
      <c r="O114" s="279"/>
      <c r="P114" s="279"/>
      <c r="Q114" s="279"/>
      <c r="R114" s="279"/>
      <c r="S114" s="279"/>
      <c r="T114" s="279"/>
      <c r="U114" s="279"/>
      <c r="V114" s="279"/>
      <c r="W114" s="279"/>
      <c r="X114" s="279"/>
      <c r="Y114" s="279"/>
      <c r="Z114" s="279"/>
      <c r="AA114" s="279"/>
      <c r="AB114" s="279"/>
      <c r="AC114" s="279"/>
      <c r="AD114" s="279"/>
    </row>
    <row r="115" spans="1:30" ht="15" hidden="1" customHeight="1" outlineLevel="1" x14ac:dyDescent="0.3">
      <c r="B115" s="165" t="s">
        <v>186</v>
      </c>
      <c r="G115" s="285">
        <f ca="1">G105+G112</f>
        <v>5354.9717222222225</v>
      </c>
      <c r="H115" s="285">
        <f t="shared" ref="H115:AD115" ca="1" si="49">H105+H112</f>
        <v>5374.7910479977108</v>
      </c>
      <c r="I115" s="285">
        <f t="shared" ca="1" si="49"/>
        <v>5387.5378651429473</v>
      </c>
      <c r="J115" s="285">
        <f t="shared" ca="1" si="49"/>
        <v>5393.2270931149205</v>
      </c>
      <c r="K115" s="285">
        <f t="shared" ca="1" si="49"/>
        <v>5391.9039066103778</v>
      </c>
      <c r="L115" s="285">
        <f t="shared" ca="1" si="49"/>
        <v>5383.6433849812147</v>
      </c>
      <c r="M115" s="285">
        <f t="shared" ca="1" si="49"/>
        <v>5368.5502051407939</v>
      </c>
      <c r="N115" s="285">
        <f t="shared" ca="1" si="49"/>
        <v>5346.7583771935115</v>
      </c>
      <c r="O115" s="285">
        <f t="shared" ca="1" si="49"/>
        <v>5318.4310220789448</v>
      </c>
      <c r="P115" s="285">
        <f t="shared" ca="1" si="49"/>
        <v>5283.7601905798065</v>
      </c>
      <c r="Q115" s="285">
        <f t="shared" ca="1" si="49"/>
        <v>5242.9667230994464</v>
      </c>
      <c r="R115" s="285">
        <f t="shared" ca="1" si="49"/>
        <v>5196.3001496700972</v>
      </c>
      <c r="S115" s="285">
        <f t="shared" ca="1" si="49"/>
        <v>5172.0174155516215</v>
      </c>
      <c r="T115" s="285">
        <f t="shared" ca="1" si="49"/>
        <v>5158.2700520435883</v>
      </c>
      <c r="U115" s="285">
        <f t="shared" ca="1" si="49"/>
        <v>5155.584692526897</v>
      </c>
      <c r="V115" s="285">
        <f t="shared" ca="1" si="49"/>
        <v>5164.4009721032298</v>
      </c>
      <c r="W115" s="285">
        <f t="shared" ca="1" si="49"/>
        <v>5185.1930697619582</v>
      </c>
      <c r="X115" s="285">
        <f t="shared" ca="1" si="49"/>
        <v>5218.4626674770843</v>
      </c>
      <c r="Y115" s="285">
        <f t="shared" ca="1" si="49"/>
        <v>5264.7392918265332</v>
      </c>
      <c r="Z115" s="285">
        <f t="shared" ca="1" si="49"/>
        <v>5324.5806828455661</v>
      </c>
      <c r="AA115" s="285">
        <f t="shared" ca="1" si="49"/>
        <v>5398.5731903606529</v>
      </c>
      <c r="AB115" s="285">
        <f t="shared" ca="1" si="49"/>
        <v>5487.3321980753872</v>
      </c>
      <c r="AC115" s="285">
        <f t="shared" ca="1" si="49"/>
        <v>5592.9340269606055</v>
      </c>
      <c r="AD115" s="285">
        <f t="shared" ca="1" si="49"/>
        <v>5709.8510049068273</v>
      </c>
    </row>
    <row r="116" spans="1:30" ht="15" hidden="1" customHeight="1" outlineLevel="1" x14ac:dyDescent="0.3">
      <c r="B116" s="165"/>
      <c r="G116" s="279"/>
      <c r="H116" s="279"/>
      <c r="I116" s="279"/>
      <c r="J116" s="279"/>
      <c r="K116" s="279"/>
      <c r="L116" s="279"/>
      <c r="M116" s="279"/>
      <c r="N116" s="279"/>
      <c r="O116" s="279"/>
      <c r="P116" s="279"/>
      <c r="Q116" s="279"/>
      <c r="R116" s="279"/>
      <c r="S116" s="279"/>
      <c r="T116" s="279"/>
      <c r="U116" s="279"/>
      <c r="V116" s="279"/>
      <c r="W116" s="279"/>
      <c r="X116" s="279"/>
      <c r="Y116" s="279"/>
      <c r="Z116" s="279"/>
      <c r="AA116" s="279"/>
      <c r="AB116" s="279"/>
      <c r="AC116" s="279"/>
      <c r="AD116" s="279"/>
    </row>
    <row r="117" spans="1:30" ht="15" hidden="1" customHeight="1" outlineLevel="1" x14ac:dyDescent="0.3">
      <c r="B117" s="165"/>
      <c r="G117" s="279"/>
      <c r="H117" s="279"/>
      <c r="I117" s="279"/>
      <c r="J117" s="279"/>
      <c r="K117" s="279"/>
      <c r="L117" s="279"/>
      <c r="M117" s="279"/>
      <c r="N117" s="279"/>
      <c r="O117" s="279"/>
      <c r="P117" s="279"/>
      <c r="Q117" s="279"/>
      <c r="R117" s="279"/>
      <c r="S117" s="279"/>
      <c r="T117" s="279"/>
      <c r="U117" s="279"/>
      <c r="V117" s="279"/>
      <c r="W117" s="279"/>
      <c r="X117" s="279"/>
      <c r="Y117" s="279"/>
      <c r="Z117" s="279"/>
      <c r="AA117" s="279"/>
      <c r="AB117" s="279"/>
      <c r="AC117" s="279"/>
      <c r="AD117" s="279"/>
    </row>
    <row r="118" spans="1:30" ht="15" hidden="1" customHeight="1" outlineLevel="1" x14ac:dyDescent="0.3">
      <c r="B118" s="282" t="s">
        <v>14</v>
      </c>
      <c r="G118" s="280">
        <f ca="1">IF(ABS(G97-G115)&lt;0.001,0,G97-G115)</f>
        <v>0</v>
      </c>
      <c r="H118" s="280">
        <f t="shared" ref="H118:AD118" ca="1" si="50">IF(ABS(H97-H115)&lt;0.001,0,H97-H115)</f>
        <v>0</v>
      </c>
      <c r="I118" s="280">
        <f t="shared" ca="1" si="50"/>
        <v>0</v>
      </c>
      <c r="J118" s="280">
        <f t="shared" ca="1" si="50"/>
        <v>0</v>
      </c>
      <c r="K118" s="280">
        <f t="shared" ca="1" si="50"/>
        <v>0</v>
      </c>
      <c r="L118" s="280">
        <f t="shared" ca="1" si="50"/>
        <v>0</v>
      </c>
      <c r="M118" s="280">
        <f t="shared" ca="1" si="50"/>
        <v>0</v>
      </c>
      <c r="N118" s="280">
        <f t="shared" ca="1" si="50"/>
        <v>0</v>
      </c>
      <c r="O118" s="280">
        <f t="shared" ca="1" si="50"/>
        <v>0</v>
      </c>
      <c r="P118" s="280">
        <f t="shared" ca="1" si="50"/>
        <v>0</v>
      </c>
      <c r="Q118" s="280">
        <f t="shared" ca="1" si="50"/>
        <v>0</v>
      </c>
      <c r="R118" s="280">
        <f t="shared" ca="1" si="50"/>
        <v>0</v>
      </c>
      <c r="S118" s="280">
        <f t="shared" ca="1" si="50"/>
        <v>0</v>
      </c>
      <c r="T118" s="280">
        <f t="shared" ca="1" si="50"/>
        <v>0</v>
      </c>
      <c r="U118" s="280">
        <f t="shared" ca="1" si="50"/>
        <v>0</v>
      </c>
      <c r="V118" s="280">
        <f t="shared" ca="1" si="50"/>
        <v>0</v>
      </c>
      <c r="W118" s="280">
        <f t="shared" ca="1" si="50"/>
        <v>0</v>
      </c>
      <c r="X118" s="280">
        <f t="shared" ca="1" si="50"/>
        <v>0</v>
      </c>
      <c r="Y118" s="280">
        <f t="shared" ca="1" si="50"/>
        <v>0</v>
      </c>
      <c r="Z118" s="280">
        <f t="shared" ca="1" si="50"/>
        <v>0</v>
      </c>
      <c r="AA118" s="280">
        <f t="shared" ca="1" si="50"/>
        <v>0</v>
      </c>
      <c r="AB118" s="280">
        <f t="shared" ca="1" si="50"/>
        <v>0</v>
      </c>
      <c r="AC118" s="280">
        <f t="shared" ca="1" si="50"/>
        <v>0</v>
      </c>
      <c r="AD118" s="280">
        <f t="shared" ca="1" si="50"/>
        <v>0</v>
      </c>
    </row>
    <row r="119" spans="1:30" ht="15" hidden="1" customHeight="1" outlineLevel="1" x14ac:dyDescent="0.3">
      <c r="B119" s="282"/>
      <c r="G119" s="279"/>
      <c r="H119" s="279"/>
      <c r="I119" s="279"/>
      <c r="J119" s="279"/>
      <c r="K119" s="279"/>
      <c r="L119" s="279"/>
      <c r="M119" s="279"/>
      <c r="N119" s="279"/>
      <c r="O119" s="279"/>
      <c r="P119" s="279"/>
      <c r="Q119" s="279"/>
      <c r="R119" s="279"/>
      <c r="S119" s="279"/>
      <c r="T119" s="279"/>
      <c r="U119" s="279"/>
      <c r="V119" s="279"/>
      <c r="W119" s="279"/>
      <c r="X119" s="279"/>
      <c r="Y119" s="279"/>
      <c r="Z119" s="279"/>
      <c r="AA119" s="279"/>
      <c r="AB119" s="279"/>
      <c r="AC119" s="279"/>
      <c r="AD119" s="279"/>
    </row>
    <row r="120" spans="1:30" ht="15" hidden="1" customHeight="1" outlineLevel="1" x14ac:dyDescent="0.3">
      <c r="G120" s="279"/>
      <c r="H120" s="279"/>
      <c r="I120" s="279"/>
      <c r="J120" s="279"/>
      <c r="K120" s="279"/>
      <c r="L120" s="279"/>
      <c r="M120" s="279"/>
      <c r="N120" s="279"/>
      <c r="O120" s="279"/>
      <c r="P120" s="279"/>
      <c r="Q120" s="279"/>
      <c r="R120" s="279"/>
      <c r="S120" s="279"/>
      <c r="T120" s="279"/>
      <c r="U120" s="279"/>
      <c r="V120" s="279"/>
      <c r="W120" s="279"/>
      <c r="X120" s="279"/>
      <c r="Y120" s="279"/>
      <c r="Z120" s="279"/>
      <c r="AA120" s="279"/>
      <c r="AB120" s="279"/>
      <c r="AC120" s="279"/>
      <c r="AD120" s="279"/>
    </row>
    <row r="121" spans="1:30" ht="15" customHeight="1" collapsed="1" x14ac:dyDescent="0.3">
      <c r="G121" s="149"/>
      <c r="H121" s="149"/>
      <c r="I121" s="149"/>
      <c r="J121" s="149"/>
      <c r="K121" s="149"/>
      <c r="L121" s="149"/>
      <c r="M121" s="149"/>
      <c r="N121" s="149"/>
      <c r="O121" s="149"/>
      <c r="P121" s="149"/>
      <c r="Q121" s="149"/>
      <c r="R121" s="149"/>
      <c r="S121" s="149"/>
      <c r="T121" s="149"/>
      <c r="U121" s="149"/>
      <c r="V121" s="149"/>
      <c r="W121" s="149"/>
      <c r="X121" s="149"/>
      <c r="Y121" s="149"/>
      <c r="Z121" s="149"/>
      <c r="AA121" s="149"/>
      <c r="AB121" s="149"/>
      <c r="AC121" s="149"/>
      <c r="AD121" s="149"/>
    </row>
    <row r="122" spans="1:30" ht="15" customHeight="1" x14ac:dyDescent="0.3">
      <c r="A122" s="149" t="s">
        <v>33</v>
      </c>
      <c r="B122" s="152" t="s">
        <v>43</v>
      </c>
      <c r="C122" s="153"/>
      <c r="D122" s="153"/>
      <c r="E122" s="153"/>
      <c r="F122" s="153"/>
      <c r="G122" s="153"/>
      <c r="H122" s="153"/>
      <c r="I122" s="153"/>
      <c r="J122" s="153"/>
      <c r="K122" s="153"/>
      <c r="L122" s="153"/>
      <c r="M122" s="153"/>
      <c r="N122" s="153"/>
      <c r="O122" s="153"/>
      <c r="P122" s="153"/>
      <c r="Q122" s="153"/>
      <c r="R122" s="153"/>
      <c r="S122" s="153"/>
      <c r="T122" s="153"/>
      <c r="U122" s="153"/>
      <c r="V122" s="153"/>
      <c r="W122" s="153"/>
      <c r="X122" s="153"/>
      <c r="Y122" s="153"/>
      <c r="Z122" s="153"/>
      <c r="AA122" s="153"/>
      <c r="AB122" s="153"/>
      <c r="AC122" s="153"/>
      <c r="AD122" s="153"/>
    </row>
    <row r="123" spans="1:30" ht="15" hidden="1" customHeight="1" outlineLevel="1" x14ac:dyDescent="0.4">
      <c r="B123" s="154"/>
      <c r="G123" s="149"/>
      <c r="H123" s="149"/>
      <c r="I123" s="149"/>
      <c r="J123" s="149"/>
      <c r="K123" s="149"/>
      <c r="L123" s="149"/>
      <c r="M123" s="149"/>
      <c r="N123" s="149"/>
      <c r="O123" s="149"/>
      <c r="P123" s="149"/>
      <c r="Q123" s="149"/>
      <c r="R123" s="149"/>
      <c r="S123" s="149"/>
      <c r="T123" s="149"/>
      <c r="U123" s="149"/>
      <c r="V123" s="149"/>
      <c r="W123" s="149"/>
      <c r="X123" s="149"/>
      <c r="Y123" s="149"/>
      <c r="Z123" s="149"/>
      <c r="AA123" s="149"/>
      <c r="AB123" s="149"/>
      <c r="AC123" s="149"/>
      <c r="AD123" s="149"/>
    </row>
    <row r="124" spans="1:30" ht="15" hidden="1" customHeight="1" outlineLevel="1" x14ac:dyDescent="0.3">
      <c r="B124" s="155" t="s">
        <v>24</v>
      </c>
      <c r="G124" s="156">
        <f>G$5</f>
        <v>2026</v>
      </c>
      <c r="H124" s="157">
        <f t="shared" ref="H124:AD124" si="51">H$5</f>
        <v>2026</v>
      </c>
      <c r="I124" s="158">
        <f t="shared" si="51"/>
        <v>2026</v>
      </c>
      <c r="J124" s="157">
        <f t="shared" si="51"/>
        <v>2026</v>
      </c>
      <c r="K124" s="157">
        <f t="shared" si="51"/>
        <v>2026</v>
      </c>
      <c r="L124" s="158">
        <f t="shared" si="51"/>
        <v>2026</v>
      </c>
      <c r="M124" s="157">
        <f t="shared" si="51"/>
        <v>2026</v>
      </c>
      <c r="N124" s="157">
        <f t="shared" si="51"/>
        <v>2026</v>
      </c>
      <c r="O124" s="158">
        <f t="shared" si="51"/>
        <v>2026</v>
      </c>
      <c r="P124" s="157">
        <f t="shared" si="51"/>
        <v>2026</v>
      </c>
      <c r="Q124" s="157">
        <f t="shared" si="51"/>
        <v>2026</v>
      </c>
      <c r="R124" s="159">
        <f t="shared" si="51"/>
        <v>2026</v>
      </c>
      <c r="S124" s="157">
        <f t="shared" si="51"/>
        <v>2027</v>
      </c>
      <c r="T124" s="157">
        <f t="shared" si="51"/>
        <v>2027</v>
      </c>
      <c r="U124" s="158">
        <f t="shared" si="51"/>
        <v>2027</v>
      </c>
      <c r="V124" s="157">
        <f t="shared" si="51"/>
        <v>2027</v>
      </c>
      <c r="W124" s="157">
        <f t="shared" si="51"/>
        <v>2027</v>
      </c>
      <c r="X124" s="158">
        <f t="shared" si="51"/>
        <v>2027</v>
      </c>
      <c r="Y124" s="157">
        <f t="shared" si="51"/>
        <v>2027</v>
      </c>
      <c r="Z124" s="157">
        <f t="shared" si="51"/>
        <v>2027</v>
      </c>
      <c r="AA124" s="158">
        <f t="shared" si="51"/>
        <v>2027</v>
      </c>
      <c r="AB124" s="157">
        <f t="shared" si="51"/>
        <v>2027</v>
      </c>
      <c r="AC124" s="157">
        <f t="shared" si="51"/>
        <v>2027</v>
      </c>
      <c r="AD124" s="159">
        <f t="shared" si="51"/>
        <v>2027</v>
      </c>
    </row>
    <row r="125" spans="1:30" hidden="1" outlineLevel="1" x14ac:dyDescent="0.3">
      <c r="B125" s="155" t="str" cm="1">
        <f t="array" ref="B125">CONCATENATE("Model Running: ",INDEX(Inputs!$B$15:$B$17,Inputs!$D$8)," Drivers")</f>
        <v>Model Running: Base Case Drivers</v>
      </c>
      <c r="G125" s="161">
        <f>G$6</f>
        <v>1</v>
      </c>
      <c r="H125" s="162">
        <f t="shared" ref="H125:AD125" si="52">H$6</f>
        <v>1</v>
      </c>
      <c r="I125" s="163">
        <f t="shared" si="52"/>
        <v>1</v>
      </c>
      <c r="J125" s="162">
        <f t="shared" si="52"/>
        <v>2</v>
      </c>
      <c r="K125" s="162">
        <f t="shared" si="52"/>
        <v>2</v>
      </c>
      <c r="L125" s="163">
        <f t="shared" si="52"/>
        <v>2</v>
      </c>
      <c r="M125" s="162">
        <f t="shared" si="52"/>
        <v>3</v>
      </c>
      <c r="N125" s="162">
        <f t="shared" si="52"/>
        <v>3</v>
      </c>
      <c r="O125" s="163">
        <f t="shared" si="52"/>
        <v>3</v>
      </c>
      <c r="P125" s="162">
        <f t="shared" si="52"/>
        <v>4</v>
      </c>
      <c r="Q125" s="162">
        <f t="shared" si="52"/>
        <v>4</v>
      </c>
      <c r="R125" s="164">
        <f t="shared" si="52"/>
        <v>4</v>
      </c>
      <c r="S125" s="162">
        <f t="shared" si="52"/>
        <v>1</v>
      </c>
      <c r="T125" s="162">
        <f t="shared" si="52"/>
        <v>1</v>
      </c>
      <c r="U125" s="163">
        <f t="shared" si="52"/>
        <v>1</v>
      </c>
      <c r="V125" s="162">
        <f t="shared" si="52"/>
        <v>2</v>
      </c>
      <c r="W125" s="162">
        <f t="shared" si="52"/>
        <v>2</v>
      </c>
      <c r="X125" s="163">
        <f t="shared" si="52"/>
        <v>2</v>
      </c>
      <c r="Y125" s="162">
        <f t="shared" si="52"/>
        <v>3</v>
      </c>
      <c r="Z125" s="162">
        <f t="shared" si="52"/>
        <v>3</v>
      </c>
      <c r="AA125" s="163">
        <f t="shared" si="52"/>
        <v>3</v>
      </c>
      <c r="AB125" s="162">
        <f t="shared" si="52"/>
        <v>4</v>
      </c>
      <c r="AC125" s="162">
        <f t="shared" si="52"/>
        <v>4</v>
      </c>
      <c r="AD125" s="164">
        <f t="shared" si="52"/>
        <v>4</v>
      </c>
    </row>
    <row r="126" spans="1:30" hidden="1" outlineLevel="1" x14ac:dyDescent="0.3">
      <c r="G126" s="166">
        <f>G$7</f>
        <v>46053</v>
      </c>
      <c r="H126" s="167">
        <f t="shared" ref="H126:AD126" si="53">H$7</f>
        <v>46081</v>
      </c>
      <c r="I126" s="168">
        <f t="shared" si="53"/>
        <v>46112</v>
      </c>
      <c r="J126" s="167">
        <f t="shared" si="53"/>
        <v>46142</v>
      </c>
      <c r="K126" s="167">
        <f t="shared" si="53"/>
        <v>46173</v>
      </c>
      <c r="L126" s="168">
        <f t="shared" si="53"/>
        <v>46203</v>
      </c>
      <c r="M126" s="167">
        <f t="shared" si="53"/>
        <v>46234</v>
      </c>
      <c r="N126" s="167">
        <f t="shared" si="53"/>
        <v>46265</v>
      </c>
      <c r="O126" s="168">
        <f t="shared" si="53"/>
        <v>46295</v>
      </c>
      <c r="P126" s="167">
        <f t="shared" si="53"/>
        <v>46326</v>
      </c>
      <c r="Q126" s="167">
        <f t="shared" si="53"/>
        <v>46356</v>
      </c>
      <c r="R126" s="169">
        <f t="shared" si="53"/>
        <v>46387</v>
      </c>
      <c r="S126" s="167">
        <f t="shared" si="53"/>
        <v>46418</v>
      </c>
      <c r="T126" s="167">
        <f t="shared" si="53"/>
        <v>46446</v>
      </c>
      <c r="U126" s="168">
        <f t="shared" si="53"/>
        <v>46477</v>
      </c>
      <c r="V126" s="167">
        <f t="shared" si="53"/>
        <v>46507</v>
      </c>
      <c r="W126" s="167">
        <f t="shared" si="53"/>
        <v>46538</v>
      </c>
      <c r="X126" s="168">
        <f t="shared" si="53"/>
        <v>46568</v>
      </c>
      <c r="Y126" s="167">
        <f t="shared" si="53"/>
        <v>46599</v>
      </c>
      <c r="Z126" s="167">
        <f t="shared" si="53"/>
        <v>46630</v>
      </c>
      <c r="AA126" s="168">
        <f t="shared" si="53"/>
        <v>46660</v>
      </c>
      <c r="AB126" s="167">
        <f t="shared" si="53"/>
        <v>46691</v>
      </c>
      <c r="AC126" s="167">
        <f t="shared" si="53"/>
        <v>46721</v>
      </c>
      <c r="AD126" s="169">
        <f t="shared" si="53"/>
        <v>46752</v>
      </c>
    </row>
    <row r="127" spans="1:30" hidden="1" outlineLevel="1" x14ac:dyDescent="0.3">
      <c r="G127" s="149"/>
      <c r="H127" s="149"/>
      <c r="I127" s="149"/>
      <c r="J127" s="149"/>
      <c r="K127" s="149"/>
      <c r="L127" s="149"/>
      <c r="M127" s="149"/>
      <c r="N127" s="149"/>
      <c r="O127" s="149"/>
      <c r="P127" s="149"/>
      <c r="Q127" s="149"/>
      <c r="R127" s="149"/>
      <c r="S127" s="149"/>
      <c r="T127" s="149"/>
      <c r="U127" s="149"/>
      <c r="V127" s="149"/>
      <c r="W127" s="149"/>
      <c r="X127" s="149"/>
      <c r="Y127" s="149"/>
      <c r="Z127" s="149"/>
      <c r="AA127" s="149"/>
      <c r="AB127" s="149"/>
      <c r="AC127" s="149"/>
      <c r="AD127" s="149"/>
    </row>
    <row r="128" spans="1:30" hidden="1" outlineLevel="1" x14ac:dyDescent="0.3">
      <c r="B128" s="172" t="s">
        <v>49</v>
      </c>
      <c r="D128" s="291"/>
      <c r="E128" s="291" t="s">
        <v>40</v>
      </c>
      <c r="F128" s="291"/>
      <c r="G128" s="149"/>
      <c r="H128" s="149"/>
      <c r="I128" s="149"/>
      <c r="J128" s="149"/>
      <c r="K128" s="149"/>
      <c r="L128" s="149"/>
      <c r="M128" s="149"/>
      <c r="N128" s="149"/>
      <c r="O128" s="149"/>
      <c r="P128" s="149"/>
      <c r="Q128" s="149"/>
      <c r="R128" s="149"/>
      <c r="S128" s="149"/>
      <c r="T128" s="149"/>
      <c r="U128" s="149"/>
      <c r="V128" s="149"/>
      <c r="W128" s="149"/>
      <c r="X128" s="149"/>
      <c r="Y128" s="149"/>
      <c r="Z128" s="149"/>
      <c r="AA128" s="149"/>
      <c r="AB128" s="149"/>
      <c r="AC128" s="149"/>
      <c r="AD128" s="149"/>
    </row>
    <row r="129" spans="2:30" hidden="1" outlineLevel="1" x14ac:dyDescent="0.3">
      <c r="B129" s="165" t="s">
        <v>45</v>
      </c>
      <c r="E129" s="196"/>
      <c r="F129" s="196"/>
      <c r="G129" s="196">
        <f>IF(Inputs!E177&gt;0,Inputs!E177,'Operational Model'!F132)</f>
        <v>875</v>
      </c>
      <c r="H129" s="196">
        <f>IF(Inputs!F177&gt;0,Inputs!F177,'Operational Model'!G132)</f>
        <v>875.02</v>
      </c>
      <c r="I129" s="196">
        <f>IF(Inputs!G177&gt;0,Inputs!G177,'Operational Model'!H132)</f>
        <v>876.08979999999997</v>
      </c>
      <c r="J129" s="196">
        <f>IF(Inputs!H177&gt;0,Inputs!H177,'Operational Model'!I132)</f>
        <v>878.19892600000003</v>
      </c>
      <c r="K129" s="196">
        <f>IF(Inputs!I177&gt;0,Inputs!I177,'Operational Model'!J132)</f>
        <v>881.33826850000014</v>
      </c>
      <c r="L129" s="196">
        <f>IF(Inputs!J177&gt;0,Inputs!J177,'Operational Model'!K132)</f>
        <v>885.50005628620022</v>
      </c>
      <c r="M129" s="196">
        <f>IF(Inputs!K177&gt;0,Inputs!K177,'Operational Model'!L132)</f>
        <v>890.67783211673827</v>
      </c>
      <c r="N129" s="196">
        <f>IF(Inputs!L177&gt;0,Inputs!L177,'Operational Model'!M132)</f>
        <v>896.86643025651426</v>
      </c>
      <c r="O129" s="196">
        <f>IF(Inputs!M177&gt;0,Inputs!M177,'Operational Model'!N132)</f>
        <v>904.06195581343263</v>
      </c>
      <c r="P129" s="196">
        <f>IF(Inputs!N177&gt;0,Inputs!N177,'Operational Model'!O132)</f>
        <v>912.26176583108963</v>
      </c>
      <c r="Q129" s="196">
        <f>IF(Inputs!O177&gt;0,Inputs!O177,'Operational Model'!P132)</f>
        <v>921.46445209554622</v>
      </c>
      <c r="R129" s="196">
        <f>IF(Inputs!P177&gt;0,Inputs!P177,'Operational Model'!Q132)</f>
        <v>931.66982561635552</v>
      </c>
      <c r="S129" s="196">
        <f>IF(Inputs!Q177&gt;0,Inputs!Q177,'Operational Model'!R132)</f>
        <v>942.87890274447136</v>
      </c>
      <c r="T129" s="196">
        <f>IF(Inputs!R177&gt;0,Inputs!R177,'Operational Model'!S132)</f>
        <v>952.96575573579287</v>
      </c>
      <c r="U129" s="196">
        <f>IF(Inputs!S177&gt;0,Inputs!S177,'Operational Model'!T132)</f>
        <v>963.87115507414364</v>
      </c>
      <c r="V129" s="196">
        <f>IF(Inputs!T177&gt;0,Inputs!T177,'Operational Model'!U132)</f>
        <v>975.59177666726509</v>
      </c>
      <c r="W129" s="196">
        <f>IF(Inputs!U177&gt;0,Inputs!U177,'Operational Model'!V132)</f>
        <v>988.12521240613137</v>
      </c>
      <c r="X129" s="196">
        <f>IF(Inputs!V177&gt;0,Inputs!V177,'Operational Model'!W132)</f>
        <v>1001.4699511029373</v>
      </c>
      <c r="Y129" s="196">
        <f>IF(Inputs!W177&gt;0,Inputs!W177,'Operational Model'!X132)</f>
        <v>1015.6253607149242</v>
      </c>
      <c r="Z129" s="196">
        <f>IF(Inputs!X177&gt;0,Inputs!X177,'Operational Model'!Y132)</f>
        <v>1030.5916718121653</v>
      </c>
      <c r="AA129" s="196">
        <f>IF(Inputs!Y177&gt;0,Inputs!Y177,'Operational Model'!Z132)</f>
        <v>1046.3699622495039</v>
      </c>
      <c r="AB129" s="196">
        <f>IF(Inputs!Z177&gt;0,Inputs!Z177,'Operational Model'!AA132)</f>
        <v>1062.9621430048107</v>
      </c>
      <c r="AC129" s="196">
        <f>IF(Inputs!AA177&gt;0,Inputs!AA177,'Operational Model'!AB132)</f>
        <v>1080.3709451476393</v>
      </c>
      <c r="AD129" s="196">
        <f>IF(Inputs!AB177&gt;0,Inputs!AB177,'Operational Model'!AC132)</f>
        <v>1098.5999079041947</v>
      </c>
    </row>
    <row r="130" spans="2:30" hidden="1" outlineLevel="1" x14ac:dyDescent="0.3">
      <c r="B130" s="174" t="s">
        <v>52</v>
      </c>
      <c r="G130" s="196">
        <f>IF(Inputs!E178&gt;0,Inputs!E178*(1+Inputs!F13),'Operational Model'!F130*(1+Inputs!F13))</f>
        <v>35.020000000000003</v>
      </c>
      <c r="H130" s="196">
        <f>IF(Inputs!F178&gt;0,Inputs!F178*(1+Inputs!G13),'Operational Model'!G130*(1+Inputs!G13))</f>
        <v>36.070600000000006</v>
      </c>
      <c r="I130" s="196">
        <f>IF(Inputs!G178&gt;0,Inputs!G178*(1+Inputs!H13),'Operational Model'!H130*(1+Inputs!H13))</f>
        <v>37.152718000000007</v>
      </c>
      <c r="J130" s="196">
        <f>IF(Inputs!H178&gt;0,Inputs!H178*(1+Inputs!I13),'Operational Model'!I130*(1+Inputs!I13))</f>
        <v>38.26729954000001</v>
      </c>
      <c r="K130" s="196">
        <f>IF(Inputs!I178&gt;0,Inputs!I178*(1+Inputs!J13),'Operational Model'!J130*(1+Inputs!J13))</f>
        <v>39.415318526200011</v>
      </c>
      <c r="L130" s="196">
        <f>IF(Inputs!J178&gt;0,Inputs!J178*(1+Inputs!K13),'Operational Model'!K130*(1+Inputs!K13))</f>
        <v>40.597778081986014</v>
      </c>
      <c r="M130" s="196">
        <f>IF(Inputs!K178&gt;0,Inputs!K178*(1+Inputs!L13),'Operational Model'!L130*(1+Inputs!L13))</f>
        <v>41.815711424445595</v>
      </c>
      <c r="N130" s="196">
        <f>IF(Inputs!L178&gt;0,Inputs!L178*(1+Inputs!M13),'Operational Model'!M130*(1+Inputs!M13))</f>
        <v>43.070182767178963</v>
      </c>
      <c r="O130" s="196">
        <f>IF(Inputs!M178&gt;0,Inputs!M178*(1+Inputs!N13),'Operational Model'!N130*(1+Inputs!N13))</f>
        <v>44.362288250194332</v>
      </c>
      <c r="P130" s="196">
        <f>IF(Inputs!N178&gt;0,Inputs!N178*(1+Inputs!O13),'Operational Model'!O130*(1+Inputs!O13))</f>
        <v>45.693156897700163</v>
      </c>
      <c r="Q130" s="196">
        <f>IF(Inputs!O178&gt;0,Inputs!O178*(1+Inputs!P13),'Operational Model'!P130*(1+Inputs!P13))</f>
        <v>47.063951604631171</v>
      </c>
      <c r="R130" s="196">
        <f>IF(Inputs!P178&gt;0,Inputs!P178*(1+Inputs!Q13),'Operational Model'!Q130*(1+Inputs!Q13))</f>
        <v>48.475870152770106</v>
      </c>
      <c r="S130" s="196">
        <f>IF(Inputs!Q178&gt;0,Inputs!Q178*(1+Inputs!R13),'Operational Model'!R130*(1+Inputs!R13))</f>
        <v>49.687766906589353</v>
      </c>
      <c r="T130" s="196">
        <f>IF(Inputs!R178&gt;0,Inputs!R178*(1+Inputs!S13),'Operational Model'!S130*(1+Inputs!S13))</f>
        <v>50.929961079254085</v>
      </c>
      <c r="U130" s="196">
        <f>IF(Inputs!S178&gt;0,Inputs!S178*(1+Inputs!T13),'Operational Model'!T130*(1+Inputs!T13))</f>
        <v>52.203210106235431</v>
      </c>
      <c r="V130" s="196">
        <f>IF(Inputs!T178&gt;0,Inputs!T178*(1+Inputs!U13),'Operational Model'!U130*(1+Inputs!U13))</f>
        <v>53.508290358891315</v>
      </c>
      <c r="W130" s="196">
        <f>IF(Inputs!U178&gt;0,Inputs!U178*(1+Inputs!V13),'Operational Model'!V130*(1+Inputs!V13))</f>
        <v>54.845997617863596</v>
      </c>
      <c r="X130" s="196">
        <f>IF(Inputs!V178&gt;0,Inputs!V178*(1+Inputs!W13),'Operational Model'!W130*(1+Inputs!W13))</f>
        <v>56.217147558310181</v>
      </c>
      <c r="Y130" s="196">
        <f>IF(Inputs!W178&gt;0,Inputs!W178*(1+Inputs!X13),'Operational Model'!X130*(1+Inputs!X13))</f>
        <v>57.622576247267929</v>
      </c>
      <c r="Z130" s="196">
        <f>IF(Inputs!X178&gt;0,Inputs!X178*(1+Inputs!Y13),'Operational Model'!Y130*(1+Inputs!Y13))</f>
        <v>59.063140653449622</v>
      </c>
      <c r="AA130" s="196">
        <f>IF(Inputs!Y178&gt;0,Inputs!Y178*(1+Inputs!Z13),'Operational Model'!Z130*(1+Inputs!Z13))</f>
        <v>60.539719169785855</v>
      </c>
      <c r="AB130" s="196">
        <f>IF(Inputs!Z178&gt;0,Inputs!Z178*(1+Inputs!AA13),'Operational Model'!AA130*(1+Inputs!AA13))</f>
        <v>62.053212149030493</v>
      </c>
      <c r="AC130" s="196">
        <f>IF(Inputs!AA178&gt;0,Inputs!AA178*(1+Inputs!AB13),'Operational Model'!AB130*(1+Inputs!AB13))</f>
        <v>63.604542452756249</v>
      </c>
      <c r="AD130" s="196">
        <f>IF(Inputs!AB178&gt;0,Inputs!AB178*(1+Inputs!AC13),'Operational Model'!AC130*(1+Inputs!AC13))</f>
        <v>65.19465601407515</v>
      </c>
    </row>
    <row r="131" spans="2:30" hidden="1" outlineLevel="1" x14ac:dyDescent="0.3">
      <c r="B131" s="174" t="s">
        <v>53</v>
      </c>
      <c r="G131" s="196">
        <f>-G129*Inputs!F$19</f>
        <v>-35</v>
      </c>
      <c r="H131" s="196">
        <f>-H129*Inputs!G$19</f>
        <v>-35.000799999999998</v>
      </c>
      <c r="I131" s="196">
        <f>-I129*Inputs!H$19</f>
        <v>-35.043591999999997</v>
      </c>
      <c r="J131" s="196">
        <f>-J129*Inputs!I$19</f>
        <v>-35.127957040000005</v>
      </c>
      <c r="K131" s="196">
        <f>-K129*Inputs!J$19</f>
        <v>-35.253530740000009</v>
      </c>
      <c r="L131" s="196">
        <f>-L129*Inputs!K$19</f>
        <v>-35.420002251448011</v>
      </c>
      <c r="M131" s="196">
        <f>-M129*Inputs!L$19</f>
        <v>-35.627113284669534</v>
      </c>
      <c r="N131" s="196">
        <f>-N129*Inputs!M$19</f>
        <v>-35.874657210260573</v>
      </c>
      <c r="O131" s="196">
        <f>-O129*Inputs!N$19</f>
        <v>-36.162478232537303</v>
      </c>
      <c r="P131" s="196">
        <f>-P129*Inputs!O$19</f>
        <v>-36.490470633243589</v>
      </c>
      <c r="Q131" s="196">
        <f>-Q129*Inputs!P$19</f>
        <v>-36.858578083821847</v>
      </c>
      <c r="R131" s="196">
        <f>-R129*Inputs!Q$19</f>
        <v>-37.26679302465422</v>
      </c>
      <c r="S131" s="196">
        <f>-S129*Inputs!R$19</f>
        <v>-39.600913915267803</v>
      </c>
      <c r="T131" s="196">
        <f>-T129*Inputs!S$19</f>
        <v>-40.024561740903302</v>
      </c>
      <c r="U131" s="196">
        <f>-U129*Inputs!T$19</f>
        <v>-40.482588513114038</v>
      </c>
      <c r="V131" s="196">
        <f>-V129*Inputs!U$19</f>
        <v>-40.974854620025134</v>
      </c>
      <c r="W131" s="196">
        <f>-W129*Inputs!V$19</f>
        <v>-41.50125892105752</v>
      </c>
      <c r="X131" s="196">
        <f>-X129*Inputs!W$19</f>
        <v>-42.061737946323369</v>
      </c>
      <c r="Y131" s="196">
        <f>-Y129*Inputs!X$19</f>
        <v>-42.656265150026819</v>
      </c>
      <c r="Z131" s="196">
        <f>-Z129*Inputs!Y$19</f>
        <v>-43.284850216110947</v>
      </c>
      <c r="AA131" s="196">
        <f>-AA129*Inputs!Z$19</f>
        <v>-43.947538414479169</v>
      </c>
      <c r="AB131" s="196">
        <f>-AB129*Inputs!AA$19</f>
        <v>-44.644410006202051</v>
      </c>
      <c r="AC131" s="196">
        <f>-AC129*Inputs!AB$19</f>
        <v>-45.375579696200852</v>
      </c>
      <c r="AD131" s="196">
        <f>-AD129*Inputs!AC$19</f>
        <v>-46.14119613197618</v>
      </c>
    </row>
    <row r="132" spans="2:30" hidden="1" outlineLevel="1" x14ac:dyDescent="0.3">
      <c r="B132" s="174" t="s">
        <v>48</v>
      </c>
      <c r="G132" s="292">
        <f>SUM(G129:G131)</f>
        <v>875.02</v>
      </c>
      <c r="H132" s="292">
        <f>SUM(H129:H131)</f>
        <v>876.08979999999997</v>
      </c>
      <c r="I132" s="292">
        <f t="shared" ref="I132:AD132" si="54">SUM(I129:I131)</f>
        <v>878.19892600000003</v>
      </c>
      <c r="J132" s="292">
        <f t="shared" si="54"/>
        <v>881.33826850000014</v>
      </c>
      <c r="K132" s="292">
        <f t="shared" si="54"/>
        <v>885.50005628620022</v>
      </c>
      <c r="L132" s="292">
        <f t="shared" si="54"/>
        <v>890.67783211673827</v>
      </c>
      <c r="M132" s="292">
        <f t="shared" si="54"/>
        <v>896.86643025651426</v>
      </c>
      <c r="N132" s="292">
        <f t="shared" si="54"/>
        <v>904.06195581343263</v>
      </c>
      <c r="O132" s="292">
        <f t="shared" si="54"/>
        <v>912.26176583108963</v>
      </c>
      <c r="P132" s="292">
        <f t="shared" si="54"/>
        <v>921.46445209554622</v>
      </c>
      <c r="Q132" s="292">
        <f t="shared" si="54"/>
        <v>931.66982561635552</v>
      </c>
      <c r="R132" s="292">
        <f t="shared" si="54"/>
        <v>942.87890274447136</v>
      </c>
      <c r="S132" s="292">
        <f t="shared" si="54"/>
        <v>952.96575573579287</v>
      </c>
      <c r="T132" s="292">
        <f t="shared" si="54"/>
        <v>963.87115507414364</v>
      </c>
      <c r="U132" s="292">
        <f t="shared" si="54"/>
        <v>975.59177666726509</v>
      </c>
      <c r="V132" s="292">
        <f t="shared" si="54"/>
        <v>988.12521240613137</v>
      </c>
      <c r="W132" s="292">
        <f t="shared" si="54"/>
        <v>1001.4699511029373</v>
      </c>
      <c r="X132" s="292">
        <f t="shared" si="54"/>
        <v>1015.6253607149242</v>
      </c>
      <c r="Y132" s="292">
        <f t="shared" si="54"/>
        <v>1030.5916718121653</v>
      </c>
      <c r="Z132" s="292">
        <f t="shared" si="54"/>
        <v>1046.3699622495039</v>
      </c>
      <c r="AA132" s="292">
        <f t="shared" si="54"/>
        <v>1062.9621430048107</v>
      </c>
      <c r="AB132" s="292">
        <f t="shared" si="54"/>
        <v>1080.3709451476393</v>
      </c>
      <c r="AC132" s="292">
        <f t="shared" si="54"/>
        <v>1098.5999079041947</v>
      </c>
      <c r="AD132" s="292">
        <f t="shared" si="54"/>
        <v>1117.6533677862938</v>
      </c>
    </row>
    <row r="133" spans="2:30" hidden="1" outlineLevel="1" x14ac:dyDescent="0.3"/>
    <row r="134" spans="2:30" hidden="1" outlineLevel="1" x14ac:dyDescent="0.3">
      <c r="B134" s="172" t="s">
        <v>46</v>
      </c>
      <c r="E134" s="291" t="s">
        <v>40</v>
      </c>
      <c r="F134" s="291"/>
    </row>
    <row r="135" spans="2:30" hidden="1" outlineLevel="1" x14ac:dyDescent="0.3">
      <c r="B135" s="165" t="s">
        <v>45</v>
      </c>
      <c r="G135" s="196">
        <f>IF(Inputs!E179&gt;0,Inputs!E179,'Operational Model'!F138)</f>
        <v>850</v>
      </c>
      <c r="H135" s="196">
        <f>IF(Inputs!F179&gt;0,Inputs!F179,'Operational Model'!G138)</f>
        <v>868</v>
      </c>
      <c r="I135" s="196">
        <f>IF(Inputs!G179&gt;0,Inputs!G179,'Operational Model'!H138)</f>
        <v>885.64080000000001</v>
      </c>
      <c r="J135" s="196">
        <f>IF(Inputs!H179&gt;0,Inputs!H179,'Operational Model'!I138)</f>
        <v>902.97157600000003</v>
      </c>
      <c r="K135" s="196">
        <f>IF(Inputs!I179&gt;0,Inputs!I179,'Operational Model'!J138)</f>
        <v>920.04010152000001</v>
      </c>
      <c r="L135" s="196">
        <f>IF(Inputs!J179&gt;0,Inputs!J179,'Operational Model'!K138)</f>
        <v>936.89283022960001</v>
      </c>
      <c r="M135" s="196">
        <f>IF(Inputs!K179&gt;0,Inputs!K179,'Operational Model'!L138)</f>
        <v>953.57497587645594</v>
      </c>
      <c r="N135" s="196">
        <f>IF(Inputs!L179&gt;0,Inputs!L179,'Operational Model'!M138)</f>
        <v>970.13058964359641</v>
      </c>
      <c r="O135" s="196">
        <f>IF(Inputs!M179&gt;0,Inputs!M179,'Operational Model'!N138)</f>
        <v>986.60263506098511</v>
      </c>
      <c r="P135" s="196">
        <f>IF(Inputs!N179&gt;0,Inputs!N179,'Operational Model'!O138)</f>
        <v>1003.0330605923027</v>
      </c>
      <c r="Q135" s="196">
        <f>IF(Inputs!O179&gt;0,Inputs!O179,'Operational Model'!P138)</f>
        <v>1019.4628700137002</v>
      </c>
      <c r="R135" s="196">
        <f>IF(Inputs!P179&gt;0,Inputs!P179,'Operational Model'!Q138)</f>
        <v>1035.9321906972482</v>
      </c>
      <c r="S135" s="196">
        <f>IF(Inputs!Q179&gt;0,Inputs!Q179,'Operational Model'!R138)</f>
        <v>1052.4803399079574</v>
      </c>
      <c r="T135" s="196">
        <f>IF(Inputs!R179&gt;0,Inputs!R179,'Operational Model'!S138)</f>
        <v>1073.136607704882</v>
      </c>
      <c r="U135" s="196">
        <f>IF(Inputs!S179&gt;0,Inputs!S179,'Operational Model'!T138)</f>
        <v>1093.8447105070973</v>
      </c>
      <c r="V135" s="196">
        <f>IF(Inputs!T179&gt;0,Inputs!T179,'Operational Model'!U138)</f>
        <v>1114.6380942310836</v>
      </c>
      <c r="W135" s="196">
        <f>IF(Inputs!U179&gt;0,Inputs!U179,'Operational Model'!V138)</f>
        <v>1135.5494631549493</v>
      </c>
      <c r="X135" s="196">
        <f>IF(Inputs!V179&gt;0,Inputs!V179,'Operational Model'!W138)</f>
        <v>1156.6108317392177</v>
      </c>
      <c r="Y135" s="196">
        <f>IF(Inputs!W179&gt;0,Inputs!W179,'Operational Model'!X138)</f>
        <v>1177.853574714235</v>
      </c>
      <c r="Z135" s="196">
        <f>IF(Inputs!X179&gt;0,Inputs!X179,'Operational Model'!Y138)</f>
        <v>1199.3084755194056</v>
      </c>
      <c r="AA135" s="196">
        <f>IF(Inputs!Y179&gt;0,Inputs!Y179,'Operational Model'!Z138)</f>
        <v>1221.0057731761674</v>
      </c>
      <c r="AB135" s="196">
        <f>IF(Inputs!Z179&gt;0,Inputs!Z179,'Operational Model'!AA138)</f>
        <v>1242.9752076734756</v>
      </c>
      <c r="AC135" s="196">
        <f>IF(Inputs!AA179&gt;0,Inputs!AA179,'Operational Model'!AB138)</f>
        <v>1265.2460639415549</v>
      </c>
      <c r="AD135" s="196">
        <f>IF(Inputs!AB179&gt;0,Inputs!AB179,'Operational Model'!AC138)</f>
        <v>1287.8472144868078</v>
      </c>
    </row>
    <row r="136" spans="2:30" hidden="1" outlineLevel="1" x14ac:dyDescent="0.3">
      <c r="B136" s="165" t="s">
        <v>56</v>
      </c>
      <c r="G136" s="196">
        <f>-G131</f>
        <v>35</v>
      </c>
      <c r="H136" s="196">
        <f t="shared" ref="H136:AC136" si="55">-H131</f>
        <v>35.000799999999998</v>
      </c>
      <c r="I136" s="196">
        <f t="shared" si="55"/>
        <v>35.043591999999997</v>
      </c>
      <c r="J136" s="196">
        <f t="shared" si="55"/>
        <v>35.127957040000005</v>
      </c>
      <c r="K136" s="196">
        <f t="shared" si="55"/>
        <v>35.253530740000009</v>
      </c>
      <c r="L136" s="196">
        <f t="shared" si="55"/>
        <v>35.420002251448011</v>
      </c>
      <c r="M136" s="196">
        <f t="shared" si="55"/>
        <v>35.627113284669534</v>
      </c>
      <c r="N136" s="196">
        <f t="shared" si="55"/>
        <v>35.874657210260573</v>
      </c>
      <c r="O136" s="196">
        <f t="shared" si="55"/>
        <v>36.162478232537303</v>
      </c>
      <c r="P136" s="196">
        <f t="shared" si="55"/>
        <v>36.490470633243589</v>
      </c>
      <c r="Q136" s="196">
        <f t="shared" si="55"/>
        <v>36.858578083821847</v>
      </c>
      <c r="R136" s="196">
        <f t="shared" si="55"/>
        <v>37.26679302465422</v>
      </c>
      <c r="S136" s="196">
        <f t="shared" si="55"/>
        <v>39.600913915267803</v>
      </c>
      <c r="T136" s="196">
        <f t="shared" si="55"/>
        <v>40.024561740903302</v>
      </c>
      <c r="U136" s="196">
        <f t="shared" si="55"/>
        <v>40.482588513114038</v>
      </c>
      <c r="V136" s="196">
        <f t="shared" si="55"/>
        <v>40.974854620025134</v>
      </c>
      <c r="W136" s="196">
        <f t="shared" si="55"/>
        <v>41.50125892105752</v>
      </c>
      <c r="X136" s="196">
        <f t="shared" si="55"/>
        <v>42.061737946323369</v>
      </c>
      <c r="Y136" s="196">
        <f t="shared" si="55"/>
        <v>42.656265150026819</v>
      </c>
      <c r="Z136" s="196">
        <f t="shared" si="55"/>
        <v>43.284850216110947</v>
      </c>
      <c r="AA136" s="196">
        <f t="shared" si="55"/>
        <v>43.947538414479169</v>
      </c>
      <c r="AB136" s="196">
        <f t="shared" si="55"/>
        <v>44.644410006202051</v>
      </c>
      <c r="AC136" s="196">
        <f t="shared" si="55"/>
        <v>45.375579696200852</v>
      </c>
      <c r="AD136" s="196">
        <f>-AD131</f>
        <v>46.14119613197618</v>
      </c>
    </row>
    <row r="137" spans="2:30" hidden="1" outlineLevel="1" x14ac:dyDescent="0.3">
      <c r="B137" s="165" t="s">
        <v>47</v>
      </c>
      <c r="G137" s="196">
        <f>-G135*Inputs!F31</f>
        <v>-17</v>
      </c>
      <c r="H137" s="196">
        <f>-H135*Inputs!G31</f>
        <v>-17.36</v>
      </c>
      <c r="I137" s="196">
        <f>-I135*Inputs!H31</f>
        <v>-17.712816</v>
      </c>
      <c r="J137" s="196">
        <f>-J135*Inputs!I31</f>
        <v>-18.05943152</v>
      </c>
      <c r="K137" s="196">
        <f>-K135*Inputs!J31</f>
        <v>-18.400802030400001</v>
      </c>
      <c r="L137" s="196">
        <f>-L135*Inputs!K31</f>
        <v>-18.737856604592</v>
      </c>
      <c r="M137" s="196">
        <f>-M135*Inputs!L31</f>
        <v>-19.071499517529119</v>
      </c>
      <c r="N137" s="196">
        <f>-N135*Inputs!M31</f>
        <v>-19.40261179287193</v>
      </c>
      <c r="O137" s="196">
        <f>-O135*Inputs!N31</f>
        <v>-19.732052701219704</v>
      </c>
      <c r="P137" s="196">
        <f>-P135*Inputs!O31</f>
        <v>-20.060661211846053</v>
      </c>
      <c r="Q137" s="196">
        <f>-Q135*Inputs!P31</f>
        <v>-20.389257400274005</v>
      </c>
      <c r="R137" s="196">
        <f>-R135*Inputs!Q31</f>
        <v>-20.718643813944965</v>
      </c>
      <c r="S137" s="196">
        <f>-S135*Inputs!R31</f>
        <v>-18.944646118343233</v>
      </c>
      <c r="T137" s="196">
        <f>-T135*Inputs!S31</f>
        <v>-19.316458938687873</v>
      </c>
      <c r="U137" s="196">
        <f>-U135*Inputs!T31</f>
        <v>-19.68920478912775</v>
      </c>
      <c r="V137" s="196">
        <f>-V135*Inputs!U31</f>
        <v>-20.063485696159503</v>
      </c>
      <c r="W137" s="196">
        <f>-W135*Inputs!V31</f>
        <v>-20.439890336789087</v>
      </c>
      <c r="X137" s="196">
        <f>-X135*Inputs!W31</f>
        <v>-20.818994971305916</v>
      </c>
      <c r="Y137" s="196">
        <f>-Y135*Inputs!X31</f>
        <v>-21.201364344856231</v>
      </c>
      <c r="Z137" s="196">
        <f>-Z135*Inputs!Y31</f>
        <v>-21.587552559349302</v>
      </c>
      <c r="AA137" s="196">
        <f>-AA135*Inputs!Z31</f>
        <v>-21.978103917171012</v>
      </c>
      <c r="AB137" s="196">
        <f>-AB135*Inputs!AA31</f>
        <v>-22.37355373812256</v>
      </c>
      <c r="AC137" s="196">
        <f>-AC135*Inputs!AB31</f>
        <v>-22.774429150947988</v>
      </c>
      <c r="AD137" s="196">
        <f>-AD135*Inputs!AC31</f>
        <v>-23.181249860762538</v>
      </c>
    </row>
    <row r="138" spans="2:30" hidden="1" outlineLevel="1" x14ac:dyDescent="0.3">
      <c r="B138" s="165" t="s">
        <v>48</v>
      </c>
      <c r="G138" s="292">
        <f>SUM(G135:G137)</f>
        <v>868</v>
      </c>
      <c r="H138" s="292">
        <f t="shared" ref="H138:AC138" si="56">SUM(H135:H137)</f>
        <v>885.64080000000001</v>
      </c>
      <c r="I138" s="292">
        <f t="shared" si="56"/>
        <v>902.97157600000003</v>
      </c>
      <c r="J138" s="292">
        <f t="shared" si="56"/>
        <v>920.04010152000001</v>
      </c>
      <c r="K138" s="292">
        <f t="shared" si="56"/>
        <v>936.89283022960001</v>
      </c>
      <c r="L138" s="292">
        <f t="shared" si="56"/>
        <v>953.57497587645594</v>
      </c>
      <c r="M138" s="292">
        <f t="shared" si="56"/>
        <v>970.13058964359641</v>
      </c>
      <c r="N138" s="292">
        <f t="shared" si="56"/>
        <v>986.60263506098511</v>
      </c>
      <c r="O138" s="292">
        <f t="shared" si="56"/>
        <v>1003.0330605923027</v>
      </c>
      <c r="P138" s="292">
        <f t="shared" si="56"/>
        <v>1019.4628700137002</v>
      </c>
      <c r="Q138" s="292">
        <f t="shared" si="56"/>
        <v>1035.9321906972482</v>
      </c>
      <c r="R138" s="292">
        <f t="shared" si="56"/>
        <v>1052.4803399079574</v>
      </c>
      <c r="S138" s="292">
        <f t="shared" si="56"/>
        <v>1073.136607704882</v>
      </c>
      <c r="T138" s="292">
        <f t="shared" si="56"/>
        <v>1093.8447105070973</v>
      </c>
      <c r="U138" s="292">
        <f t="shared" si="56"/>
        <v>1114.6380942310836</v>
      </c>
      <c r="V138" s="292">
        <f t="shared" si="56"/>
        <v>1135.5494631549493</v>
      </c>
      <c r="W138" s="292">
        <f t="shared" si="56"/>
        <v>1156.6108317392177</v>
      </c>
      <c r="X138" s="292">
        <f t="shared" si="56"/>
        <v>1177.853574714235</v>
      </c>
      <c r="Y138" s="292">
        <f t="shared" si="56"/>
        <v>1199.3084755194056</v>
      </c>
      <c r="Z138" s="292">
        <f t="shared" si="56"/>
        <v>1221.0057731761674</v>
      </c>
      <c r="AA138" s="292">
        <f t="shared" si="56"/>
        <v>1242.9752076734756</v>
      </c>
      <c r="AB138" s="292">
        <f t="shared" si="56"/>
        <v>1265.2460639415549</v>
      </c>
      <c r="AC138" s="292">
        <f t="shared" si="56"/>
        <v>1287.8472144868078</v>
      </c>
      <c r="AD138" s="292">
        <f>SUM(AD135:AD137)</f>
        <v>1310.8071607580214</v>
      </c>
    </row>
    <row r="139" spans="2:30" hidden="1" outlineLevel="1" x14ac:dyDescent="0.3"/>
    <row r="140" spans="2:30" hidden="1" outlineLevel="1" x14ac:dyDescent="0.3">
      <c r="B140" s="172" t="s">
        <v>72</v>
      </c>
      <c r="D140" s="255"/>
      <c r="E140" s="293" t="s">
        <v>58</v>
      </c>
      <c r="F140" s="293"/>
    </row>
    <row r="141" spans="2:30" hidden="1" outlineLevel="1" x14ac:dyDescent="0.3">
      <c r="B141" s="174" t="s">
        <v>45</v>
      </c>
      <c r="D141" s="255"/>
      <c r="G141" s="196">
        <f>IF(Inputs!E180&gt;0,Inputs!E180,'Operational Model'!F143)</f>
        <v>1050</v>
      </c>
      <c r="H141" s="196">
        <f>IF(Inputs!F180&gt;0,Inputs!F180,'Operational Model'!G143)</f>
        <v>1052.0999999999999</v>
      </c>
      <c r="I141" s="196">
        <f>IF(Inputs!G180&gt;0,Inputs!G180,'Operational Model'!H143)</f>
        <v>1054.2041999999999</v>
      </c>
      <c r="J141" s="196">
        <f>IF(Inputs!H180&gt;0,Inputs!H180,'Operational Model'!I143)</f>
        <v>1056.3126083999998</v>
      </c>
      <c r="K141" s="196">
        <f>IF(Inputs!I180&gt;0,Inputs!I180,'Operational Model'!J143)</f>
        <v>1058.4252336167999</v>
      </c>
      <c r="L141" s="196">
        <f>IF(Inputs!J180&gt;0,Inputs!J180,'Operational Model'!K143)</f>
        <v>1060.5420840840336</v>
      </c>
      <c r="M141" s="196">
        <f>IF(Inputs!K180&gt;0,Inputs!K180,'Operational Model'!L143)</f>
        <v>1062.6631682522016</v>
      </c>
      <c r="N141" s="196">
        <f>IF(Inputs!L180&gt;0,Inputs!L180,'Operational Model'!M143)</f>
        <v>1064.788494588706</v>
      </c>
      <c r="O141" s="196">
        <f>IF(Inputs!M180&gt;0,Inputs!M180,'Operational Model'!N143)</f>
        <v>1066.9180715778834</v>
      </c>
      <c r="P141" s="196">
        <f>IF(Inputs!N180&gt;0,Inputs!N180,'Operational Model'!O143)</f>
        <v>1069.0519077210392</v>
      </c>
      <c r="Q141" s="196">
        <f>IF(Inputs!O180&gt;0,Inputs!O180,'Operational Model'!P143)</f>
        <v>1071.1900115364813</v>
      </c>
      <c r="R141" s="196">
        <f>IF(Inputs!P180&gt;0,Inputs!P180,'Operational Model'!Q143)</f>
        <v>1073.3323915595543</v>
      </c>
      <c r="S141" s="196">
        <f>IF(Inputs!Q180&gt;0,Inputs!Q180,'Operational Model'!R143)</f>
        <v>1075.4790563426734</v>
      </c>
      <c r="T141" s="196">
        <f>IF(Inputs!R180&gt;0,Inputs!R180,'Operational Model'!S143)</f>
        <v>1078.7054935117014</v>
      </c>
      <c r="U141" s="196">
        <f>IF(Inputs!S180&gt;0,Inputs!S180,'Operational Model'!T143)</f>
        <v>1081.9416099922366</v>
      </c>
      <c r="V141" s="196">
        <f>IF(Inputs!T180&gt;0,Inputs!T180,'Operational Model'!U143)</f>
        <v>1085.1874348222134</v>
      </c>
      <c r="W141" s="196">
        <f>IF(Inputs!U180&gt;0,Inputs!U180,'Operational Model'!V143)</f>
        <v>1088.44299712668</v>
      </c>
      <c r="X141" s="196">
        <f>IF(Inputs!V180&gt;0,Inputs!V180,'Operational Model'!W143)</f>
        <v>1091.7083261180601</v>
      </c>
      <c r="Y141" s="196">
        <f>IF(Inputs!W180&gt;0,Inputs!W180,'Operational Model'!X143)</f>
        <v>1094.9834510964142</v>
      </c>
      <c r="Z141" s="196">
        <f>IF(Inputs!X180&gt;0,Inputs!X180,'Operational Model'!Y143)</f>
        <v>1098.2684014497036</v>
      </c>
      <c r="AA141" s="196">
        <f>IF(Inputs!Y180&gt;0,Inputs!Y180,'Operational Model'!Z143)</f>
        <v>1101.5632066540527</v>
      </c>
      <c r="AB141" s="196">
        <f>IF(Inputs!Z180&gt;0,Inputs!Z180,'Operational Model'!AA143)</f>
        <v>1104.8678962740148</v>
      </c>
      <c r="AC141" s="196">
        <f>IF(Inputs!AA180&gt;0,Inputs!AA180,'Operational Model'!AB143)</f>
        <v>1108.1824999628368</v>
      </c>
      <c r="AD141" s="196">
        <f>IF(Inputs!AB180&gt;0,Inputs!AB180,'Operational Model'!AC143)</f>
        <v>1111.5070474627253</v>
      </c>
    </row>
    <row r="142" spans="2:30" hidden="1" outlineLevel="1" x14ac:dyDescent="0.3">
      <c r="B142" s="165" t="s">
        <v>38</v>
      </c>
      <c r="D142" s="255"/>
      <c r="G142" s="196">
        <f>G141*Inputs!F25</f>
        <v>2.1</v>
      </c>
      <c r="H142" s="196">
        <f>H141*Inputs!G25</f>
        <v>2.1042000000000001</v>
      </c>
      <c r="I142" s="196">
        <f>I141*Inputs!H25</f>
        <v>2.1084083999999996</v>
      </c>
      <c r="J142" s="196">
        <f>J141*Inputs!I25</f>
        <v>2.1126252167999997</v>
      </c>
      <c r="K142" s="196">
        <f>K141*Inputs!J25</f>
        <v>2.1168504672335997</v>
      </c>
      <c r="L142" s="196">
        <f>L141*Inputs!K25</f>
        <v>2.1210841681680672</v>
      </c>
      <c r="M142" s="196">
        <f>M141*Inputs!L25</f>
        <v>2.1253263365044033</v>
      </c>
      <c r="N142" s="196">
        <f>N141*Inputs!M25</f>
        <v>2.1295769891774121</v>
      </c>
      <c r="O142" s="196">
        <f>O141*Inputs!N25</f>
        <v>2.1338361431557669</v>
      </c>
      <c r="P142" s="196">
        <f>P141*Inputs!O25</f>
        <v>2.1381038154420784</v>
      </c>
      <c r="Q142" s="196">
        <f>Q141*Inputs!P25</f>
        <v>2.1423800230729628</v>
      </c>
      <c r="R142" s="196">
        <f>R141*Inputs!Q25</f>
        <v>2.1466647831191086</v>
      </c>
      <c r="S142" s="196">
        <f>S141*Inputs!R25</f>
        <v>3.2264371690280202</v>
      </c>
      <c r="T142" s="196">
        <f>T141*Inputs!S25</f>
        <v>3.2361164805351046</v>
      </c>
      <c r="U142" s="196">
        <f>U141*Inputs!T25</f>
        <v>3.2458248299767098</v>
      </c>
      <c r="V142" s="196">
        <f>V141*Inputs!U25</f>
        <v>3.2555623044666402</v>
      </c>
      <c r="W142" s="196">
        <f>W141*Inputs!V25</f>
        <v>3.2653289913800401</v>
      </c>
      <c r="X142" s="196">
        <f>X141*Inputs!W25</f>
        <v>3.2751249783541803</v>
      </c>
      <c r="Y142" s="196">
        <f>Y141*Inputs!X25</f>
        <v>3.2849503532892426</v>
      </c>
      <c r="Z142" s="196">
        <f>Z141*Inputs!Y25</f>
        <v>3.2948052043491107</v>
      </c>
      <c r="AA142" s="196">
        <f>AA141*Inputs!Z25</f>
        <v>3.3046896199621583</v>
      </c>
      <c r="AB142" s="196">
        <f>AB141*Inputs!AA25</f>
        <v>3.3146036888220447</v>
      </c>
      <c r="AC142" s="196">
        <f>AC141*Inputs!AB25</f>
        <v>3.3245474998885105</v>
      </c>
      <c r="AD142" s="196">
        <f>AD141*Inputs!AC25</f>
        <v>3.334521142388176</v>
      </c>
    </row>
    <row r="143" spans="2:30" hidden="1" outlineLevel="1" x14ac:dyDescent="0.3">
      <c r="B143" s="165" t="s">
        <v>48</v>
      </c>
      <c r="D143" s="255"/>
      <c r="G143" s="292">
        <f>SUM(G141:G142)</f>
        <v>1052.0999999999999</v>
      </c>
      <c r="H143" s="292">
        <f t="shared" ref="H143:AC143" si="57">SUM(H141:H142)</f>
        <v>1054.2041999999999</v>
      </c>
      <c r="I143" s="292">
        <f t="shared" si="57"/>
        <v>1056.3126083999998</v>
      </c>
      <c r="J143" s="292">
        <f t="shared" si="57"/>
        <v>1058.4252336167999</v>
      </c>
      <c r="K143" s="292">
        <f t="shared" si="57"/>
        <v>1060.5420840840336</v>
      </c>
      <c r="L143" s="292">
        <f t="shared" si="57"/>
        <v>1062.6631682522016</v>
      </c>
      <c r="M143" s="292">
        <f t="shared" si="57"/>
        <v>1064.788494588706</v>
      </c>
      <c r="N143" s="292">
        <f t="shared" si="57"/>
        <v>1066.9180715778834</v>
      </c>
      <c r="O143" s="292">
        <f t="shared" si="57"/>
        <v>1069.0519077210392</v>
      </c>
      <c r="P143" s="292">
        <f t="shared" si="57"/>
        <v>1071.1900115364813</v>
      </c>
      <c r="Q143" s="292">
        <f t="shared" si="57"/>
        <v>1073.3323915595543</v>
      </c>
      <c r="R143" s="292">
        <f t="shared" si="57"/>
        <v>1075.4790563426734</v>
      </c>
      <c r="S143" s="292">
        <f t="shared" si="57"/>
        <v>1078.7054935117014</v>
      </c>
      <c r="T143" s="292">
        <f t="shared" si="57"/>
        <v>1081.9416099922366</v>
      </c>
      <c r="U143" s="292">
        <f t="shared" si="57"/>
        <v>1085.1874348222134</v>
      </c>
      <c r="V143" s="292">
        <f t="shared" si="57"/>
        <v>1088.44299712668</v>
      </c>
      <c r="W143" s="292">
        <f t="shared" si="57"/>
        <v>1091.7083261180601</v>
      </c>
      <c r="X143" s="292">
        <f t="shared" si="57"/>
        <v>1094.9834510964142</v>
      </c>
      <c r="Y143" s="292">
        <f t="shared" si="57"/>
        <v>1098.2684014497036</v>
      </c>
      <c r="Z143" s="292">
        <f t="shared" si="57"/>
        <v>1101.5632066540527</v>
      </c>
      <c r="AA143" s="292">
        <f t="shared" si="57"/>
        <v>1104.8678962740148</v>
      </c>
      <c r="AB143" s="292">
        <f t="shared" si="57"/>
        <v>1108.1824999628368</v>
      </c>
      <c r="AC143" s="292">
        <f t="shared" si="57"/>
        <v>1111.5070474627253</v>
      </c>
      <c r="AD143" s="292">
        <f>SUM(AD141:AD142)</f>
        <v>1114.8415686051135</v>
      </c>
    </row>
    <row r="144" spans="2:30" hidden="1" outlineLevel="1" x14ac:dyDescent="0.3">
      <c r="D144" s="255"/>
    </row>
    <row r="145" spans="2:30" hidden="1" outlineLevel="1" x14ac:dyDescent="0.3">
      <c r="B145" s="172" t="s">
        <v>60</v>
      </c>
      <c r="D145" s="255"/>
    </row>
    <row r="146" spans="2:30" hidden="1" outlineLevel="1" x14ac:dyDescent="0.3">
      <c r="B146" s="174" t="s">
        <v>65</v>
      </c>
      <c r="G146" s="294">
        <f>G136+G137</f>
        <v>18</v>
      </c>
      <c r="H146" s="292">
        <f t="shared" ref="H146:AD146" si="58">H136+H137</f>
        <v>17.640799999999999</v>
      </c>
      <c r="I146" s="295">
        <f t="shared" si="58"/>
        <v>17.330775999999997</v>
      </c>
      <c r="J146" s="292">
        <f t="shared" si="58"/>
        <v>17.068525520000005</v>
      </c>
      <c r="K146" s="292">
        <f t="shared" si="58"/>
        <v>16.852728709600008</v>
      </c>
      <c r="L146" s="295">
        <f t="shared" si="58"/>
        <v>16.682145646856011</v>
      </c>
      <c r="M146" s="292">
        <f t="shared" si="58"/>
        <v>16.555613767140414</v>
      </c>
      <c r="N146" s="292">
        <f t="shared" si="58"/>
        <v>16.472045417388642</v>
      </c>
      <c r="O146" s="295">
        <f t="shared" si="58"/>
        <v>16.430425531317599</v>
      </c>
      <c r="P146" s="292">
        <f t="shared" si="58"/>
        <v>16.429809421397536</v>
      </c>
      <c r="Q146" s="292">
        <f t="shared" si="58"/>
        <v>16.469320683547842</v>
      </c>
      <c r="R146" s="295">
        <f t="shared" si="58"/>
        <v>16.548149210709255</v>
      </c>
      <c r="S146" s="292">
        <f t="shared" si="58"/>
        <v>20.65626779692457</v>
      </c>
      <c r="T146" s="292">
        <f t="shared" si="58"/>
        <v>20.708102802215429</v>
      </c>
      <c r="U146" s="295">
        <f t="shared" si="58"/>
        <v>20.793383723986288</v>
      </c>
      <c r="V146" s="292">
        <f t="shared" si="58"/>
        <v>20.911368923865631</v>
      </c>
      <c r="W146" s="292">
        <f t="shared" si="58"/>
        <v>21.061368584268433</v>
      </c>
      <c r="X146" s="295">
        <f t="shared" si="58"/>
        <v>21.242742975017453</v>
      </c>
      <c r="Y146" s="292">
        <f t="shared" si="58"/>
        <v>21.454900805170588</v>
      </c>
      <c r="Z146" s="292">
        <f t="shared" si="58"/>
        <v>21.697297656761645</v>
      </c>
      <c r="AA146" s="295">
        <f t="shared" si="58"/>
        <v>21.969434497308157</v>
      </c>
      <c r="AB146" s="292">
        <f t="shared" si="58"/>
        <v>22.270856268079491</v>
      </c>
      <c r="AC146" s="292">
        <f t="shared" si="58"/>
        <v>22.601150545252864</v>
      </c>
      <c r="AD146" s="295">
        <f t="shared" si="58"/>
        <v>22.959946271213642</v>
      </c>
    </row>
    <row r="147" spans="2:30" hidden="1" outlineLevel="1" x14ac:dyDescent="0.3">
      <c r="B147" s="174" t="s">
        <v>71</v>
      </c>
      <c r="D147" s="255"/>
      <c r="G147" s="296">
        <f>G138</f>
        <v>868</v>
      </c>
      <c r="H147" s="297">
        <f t="shared" ref="H147:AD147" si="59">H138</f>
        <v>885.64080000000001</v>
      </c>
      <c r="I147" s="298">
        <f t="shared" si="59"/>
        <v>902.97157600000003</v>
      </c>
      <c r="J147" s="297">
        <f t="shared" si="59"/>
        <v>920.04010152000001</v>
      </c>
      <c r="K147" s="297">
        <f t="shared" si="59"/>
        <v>936.89283022960001</v>
      </c>
      <c r="L147" s="298">
        <f t="shared" si="59"/>
        <v>953.57497587645594</v>
      </c>
      <c r="M147" s="297">
        <f t="shared" si="59"/>
        <v>970.13058964359641</v>
      </c>
      <c r="N147" s="297">
        <f t="shared" si="59"/>
        <v>986.60263506098511</v>
      </c>
      <c r="O147" s="298">
        <f t="shared" si="59"/>
        <v>1003.0330605923027</v>
      </c>
      <c r="P147" s="297">
        <f t="shared" si="59"/>
        <v>1019.4628700137002</v>
      </c>
      <c r="Q147" s="297">
        <f t="shared" si="59"/>
        <v>1035.9321906972482</v>
      </c>
      <c r="R147" s="298">
        <f t="shared" si="59"/>
        <v>1052.4803399079574</v>
      </c>
      <c r="S147" s="297">
        <f t="shared" si="59"/>
        <v>1073.136607704882</v>
      </c>
      <c r="T147" s="297">
        <f t="shared" si="59"/>
        <v>1093.8447105070973</v>
      </c>
      <c r="U147" s="298">
        <f t="shared" si="59"/>
        <v>1114.6380942310836</v>
      </c>
      <c r="V147" s="297">
        <f t="shared" si="59"/>
        <v>1135.5494631549493</v>
      </c>
      <c r="W147" s="297">
        <f t="shared" si="59"/>
        <v>1156.6108317392177</v>
      </c>
      <c r="X147" s="298">
        <f t="shared" si="59"/>
        <v>1177.853574714235</v>
      </c>
      <c r="Y147" s="297">
        <f t="shared" si="59"/>
        <v>1199.3084755194056</v>
      </c>
      <c r="Z147" s="297">
        <f t="shared" si="59"/>
        <v>1221.0057731761674</v>
      </c>
      <c r="AA147" s="298">
        <f t="shared" si="59"/>
        <v>1242.9752076734756</v>
      </c>
      <c r="AB147" s="297">
        <f t="shared" si="59"/>
        <v>1265.2460639415549</v>
      </c>
      <c r="AC147" s="297">
        <f t="shared" si="59"/>
        <v>1287.8472144868078</v>
      </c>
      <c r="AD147" s="298">
        <f t="shared" si="59"/>
        <v>1310.8071607580214</v>
      </c>
    </row>
    <row r="148" spans="2:30" hidden="1" outlineLevel="1" x14ac:dyDescent="0.3">
      <c r="B148" s="174" t="s">
        <v>66</v>
      </c>
      <c r="G148" s="299">
        <f>G138/G135-1</f>
        <v>2.1176470588235352E-2</v>
      </c>
      <c r="H148" s="300">
        <f t="shared" ref="H148:AD148" si="60">H138/H135-1</f>
        <v>2.0323502304147478E-2</v>
      </c>
      <c r="I148" s="301">
        <f t="shared" si="60"/>
        <v>1.9568628726228443E-2</v>
      </c>
      <c r="J148" s="300">
        <f t="shared" si="60"/>
        <v>1.8902616620127155E-2</v>
      </c>
      <c r="K148" s="300">
        <f t="shared" si="60"/>
        <v>1.8317384950675031E-2</v>
      </c>
      <c r="L148" s="301">
        <f t="shared" si="60"/>
        <v>1.7805820589712251E-2</v>
      </c>
      <c r="M148" s="300">
        <f t="shared" si="60"/>
        <v>1.7361627754465481E-2</v>
      </c>
      <c r="N148" s="300">
        <f t="shared" si="60"/>
        <v>1.6979204236246437E-2</v>
      </c>
      <c r="O148" s="301">
        <f t="shared" si="60"/>
        <v>1.665353907178857E-2</v>
      </c>
      <c r="P148" s="300">
        <f t="shared" si="60"/>
        <v>1.6380127502173769E-2</v>
      </c>
      <c r="Q148" s="300">
        <f t="shared" si="60"/>
        <v>1.6154899965436398E-2</v>
      </c>
      <c r="R148" s="301">
        <f t="shared" si="60"/>
        <v>1.5974162555534965E-2</v>
      </c>
      <c r="S148" s="300">
        <f t="shared" si="60"/>
        <v>1.9626274253000231E-2</v>
      </c>
      <c r="T148" s="300">
        <f t="shared" si="60"/>
        <v>1.9296800289483773E-2</v>
      </c>
      <c r="U148" s="301">
        <f t="shared" si="60"/>
        <v>1.9009447615600417E-2</v>
      </c>
      <c r="V148" s="300">
        <f t="shared" si="60"/>
        <v>1.8760680289050313E-2</v>
      </c>
      <c r="W148" s="300">
        <f t="shared" si="60"/>
        <v>1.854729297810831E-2</v>
      </c>
      <c r="X148" s="301">
        <f t="shared" si="60"/>
        <v>1.8366370426493583E-2</v>
      </c>
      <c r="Y148" s="300">
        <f t="shared" si="60"/>
        <v>1.8215252953132088E-2</v>
      </c>
      <c r="Z148" s="300">
        <f t="shared" si="60"/>
        <v>1.8091506980608019E-2</v>
      </c>
      <c r="AA148" s="301">
        <f t="shared" si="60"/>
        <v>1.7992899771603676E-2</v>
      </c>
      <c r="AB148" s="300">
        <f t="shared" si="60"/>
        <v>1.7917377700368275E-2</v>
      </c>
      <c r="AC148" s="300">
        <f t="shared" si="60"/>
        <v>1.7863047504644847E-2</v>
      </c>
      <c r="AD148" s="301">
        <f t="shared" si="60"/>
        <v>1.7828160058849019E-2</v>
      </c>
    </row>
    <row r="149" spans="2:30" hidden="1" outlineLevel="1" x14ac:dyDescent="0.3">
      <c r="B149" s="174"/>
      <c r="G149" s="178"/>
      <c r="H149" s="178"/>
      <c r="I149" s="178"/>
      <c r="J149" s="178"/>
      <c r="K149" s="178"/>
      <c r="L149" s="178"/>
      <c r="M149" s="178"/>
      <c r="N149" s="178"/>
      <c r="O149" s="178"/>
      <c r="P149" s="178"/>
      <c r="Q149" s="178"/>
      <c r="R149" s="178"/>
      <c r="S149" s="178"/>
      <c r="T149" s="178"/>
      <c r="U149" s="178"/>
      <c r="V149" s="178"/>
      <c r="W149" s="178"/>
      <c r="X149" s="178"/>
      <c r="Y149" s="178"/>
      <c r="Z149" s="178"/>
      <c r="AA149" s="178"/>
      <c r="AB149" s="178"/>
      <c r="AC149" s="178"/>
      <c r="AD149" s="178"/>
    </row>
    <row r="150" spans="2:30" hidden="1" outlineLevel="1" x14ac:dyDescent="0.3">
      <c r="B150" s="174" t="s">
        <v>74</v>
      </c>
      <c r="D150" s="255"/>
      <c r="G150" s="294">
        <f>IF(Inputs!E181&gt;0,Inputs!E181,'Operational Model'!F155)</f>
        <v>892.5</v>
      </c>
      <c r="H150" s="292">
        <f>IF(Inputs!F181&gt;0,Inputs!F181,'Operational Model'!G155)</f>
        <v>913.22280000000001</v>
      </c>
      <c r="I150" s="295">
        <f>IF(Inputs!G181&gt;0,Inputs!G181,'Operational Model'!H155)</f>
        <v>933.64625105135997</v>
      </c>
      <c r="J150" s="292">
        <f>IF(Inputs!H181&gt;0,Inputs!H181,'Operational Model'!I155)</f>
        <v>953.82026075561885</v>
      </c>
      <c r="K150" s="292">
        <f>IF(Inputs!I181&gt;0,Inputs!I181,'Operational Model'!J155)</f>
        <v>973.79365938813044</v>
      </c>
      <c r="L150" s="295">
        <f>IF(Inputs!J181&gt;0,Inputs!J181,'Operational Model'!K155)</f>
        <v>993.61427473508866</v>
      </c>
      <c r="M150" s="292">
        <f>IF(Inputs!K181&gt;0,Inputs!K181,'Operational Model'!L155)</f>
        <v>1013.3290050308915</v>
      </c>
      <c r="N150" s="292">
        <f>IF(Inputs!L181&gt;0,Inputs!L181,'Operational Model'!M155)</f>
        <v>1032.9838901010589</v>
      </c>
      <c r="O150" s="295">
        <f>IF(Inputs!M181&gt;0,Inputs!M181,'Operational Model'!N155)</f>
        <v>1052.6241808129246</v>
      </c>
      <c r="P150" s="292">
        <f>IF(Inputs!N181&gt;0,Inputs!N181,'Operational Model'!O155)</f>
        <v>1072.294406933474</v>
      </c>
      <c r="Q150" s="292">
        <f>IF(Inputs!O181&gt;0,Inputs!O181,'Operational Model'!P155)</f>
        <v>1092.0384434909899</v>
      </c>
      <c r="R150" s="295">
        <f>IF(Inputs!P181&gt;0,Inputs!P181,'Operational Model'!Q155)</f>
        <v>1111.8995757346056</v>
      </c>
      <c r="S150" s="292">
        <f>IF(Inputs!Q181&gt;0,Inputs!Q181,'Operational Model'!R155)</f>
        <v>1131.920562783426</v>
      </c>
      <c r="T150" s="292">
        <f>IF(Inputs!R181&gt;0,Inputs!R181,'Operational Model'!S155)</f>
        <v>1157.5983540197676</v>
      </c>
      <c r="U150" s="295">
        <f>IF(Inputs!S181&gt;0,Inputs!S181,'Operational Model'!T155)</f>
        <v>1183.4761071675407</v>
      </c>
      <c r="V150" s="292">
        <f>IF(Inputs!T181&gt;0,Inputs!T181,'Operational Model'!U155)</f>
        <v>1209.5912542337499</v>
      </c>
      <c r="W150" s="292">
        <f>IF(Inputs!U181&gt;0,Inputs!U181,'Operational Model'!V155)</f>
        <v>1235.980861061965</v>
      </c>
      <c r="X150" s="295">
        <f>IF(Inputs!V181&gt;0,Inputs!V181,'Operational Model'!W155)</f>
        <v>1262.681675088038</v>
      </c>
      <c r="Y150" s="292">
        <f>IF(Inputs!W181&gt;0,Inputs!W181,'Operational Model'!X155)</f>
        <v>1289.7301721268409</v>
      </c>
      <c r="Z150" s="292">
        <f>IF(Inputs!X181&gt;0,Inputs!X181,'Operational Model'!Y155)</f>
        <v>1317.1626022537782</v>
      </c>
      <c r="AA150" s="295">
        <f>IF(Inputs!Y181&gt;0,Inputs!Y181,'Operational Model'!Z155)</f>
        <v>1345.0150348430493</v>
      </c>
      <c r="AB150" s="292">
        <f>IF(Inputs!Z181&gt;0,Inputs!Z181,'Operational Model'!AA155)</f>
        <v>1373.3234028229492</v>
      </c>
      <c r="AC150" s="292">
        <f>IF(Inputs!AA181&gt;0,Inputs!AA181,'Operational Model'!AB155)</f>
        <v>1402.1235462068914</v>
      </c>
      <c r="AD150" s="295">
        <f>IF(Inputs!AB181&gt;0,Inputs!AB181,'Operational Model'!AC155)</f>
        <v>1431.4512549573267</v>
      </c>
    </row>
    <row r="151" spans="2:30" hidden="1" outlineLevel="1" x14ac:dyDescent="0.3">
      <c r="B151" s="174" t="s">
        <v>59</v>
      </c>
      <c r="D151" s="255"/>
      <c r="G151" s="296">
        <f>G136*G141/1000</f>
        <v>36.75</v>
      </c>
      <c r="H151" s="297">
        <f t="shared" ref="H151:AD151" si="61">H136*H141/1000</f>
        <v>36.824341679999996</v>
      </c>
      <c r="I151" s="298">
        <f t="shared" si="61"/>
        <v>36.943101869486398</v>
      </c>
      <c r="J151" s="297">
        <f t="shared" si="61"/>
        <v>37.106103928685542</v>
      </c>
      <c r="K151" s="297">
        <f t="shared" si="61"/>
        <v>37.313226509301543</v>
      </c>
      <c r="L151" s="298">
        <f t="shared" si="61"/>
        <v>37.564403006011837</v>
      </c>
      <c r="M151" s="297">
        <f t="shared" si="61"/>
        <v>37.859621078767027</v>
      </c>
      <c r="N151" s="297">
        <f t="shared" si="61"/>
        <v>38.19892224479922</v>
      </c>
      <c r="O151" s="298">
        <f t="shared" si="61"/>
        <v>38.582401539335883</v>
      </c>
      <c r="P151" s="297">
        <f t="shared" si="61"/>
        <v>39.010207244107619</v>
      </c>
      <c r="Q151" s="297">
        <f t="shared" si="61"/>
        <v>39.48254068282742</v>
      </c>
      <c r="R151" s="298">
        <f t="shared" si="61"/>
        <v>39.99965608290703</v>
      </c>
      <c r="S151" s="297">
        <f t="shared" si="61"/>
        <v>42.589953527899659</v>
      </c>
      <c r="T151" s="297">
        <f t="shared" si="61"/>
        <v>43.174714625310664</v>
      </c>
      <c r="U151" s="298">
        <f t="shared" si="61"/>
        <v>43.799796992531824</v>
      </c>
      <c r="V151" s="297">
        <f t="shared" si="61"/>
        <v>44.46539737731819</v>
      </c>
      <c r="W151" s="297">
        <f t="shared" si="61"/>
        <v>45.171754644566214</v>
      </c>
      <c r="X151" s="298">
        <f t="shared" si="61"/>
        <v>45.919149526997181</v>
      </c>
      <c r="Y151" s="297">
        <f t="shared" si="61"/>
        <v>46.707904424860068</v>
      </c>
      <c r="Z151" s="297">
        <f t="shared" si="61"/>
        <v>47.53838325383802</v>
      </c>
      <c r="AA151" s="298">
        <f t="shared" si="61"/>
        <v>48.410991340405836</v>
      </c>
      <c r="AB151" s="297">
        <f t="shared" si="61"/>
        <v>49.32617536394703</v>
      </c>
      <c r="AC151" s="297">
        <f t="shared" si="61"/>
        <v>50.284423344998793</v>
      </c>
      <c r="AD151" s="298">
        <f t="shared" si="61"/>
        <v>51.286264679051364</v>
      </c>
    </row>
    <row r="152" spans="2:30" hidden="1" outlineLevel="1" x14ac:dyDescent="0.3">
      <c r="B152" s="174" t="s">
        <v>68</v>
      </c>
      <c r="D152" s="255"/>
      <c r="G152" s="296">
        <f>G137*G141/1000</f>
        <v>-17.850000000000001</v>
      </c>
      <c r="H152" s="297">
        <f t="shared" ref="H152:AD152" si="62">H137*H141/1000</f>
        <v>-18.264455999999999</v>
      </c>
      <c r="I152" s="298">
        <f t="shared" si="62"/>
        <v>-18.672925021027197</v>
      </c>
      <c r="J152" s="297">
        <f t="shared" si="62"/>
        <v>-19.076405215112374</v>
      </c>
      <c r="K152" s="297">
        <f t="shared" si="62"/>
        <v>-19.475873187762609</v>
      </c>
      <c r="L152" s="298">
        <f t="shared" si="62"/>
        <v>-19.872285494701774</v>
      </c>
      <c r="M152" s="297">
        <f t="shared" si="62"/>
        <v>-20.266580100617826</v>
      </c>
      <c r="N152" s="297">
        <f t="shared" si="62"/>
        <v>-20.659677802021179</v>
      </c>
      <c r="O152" s="298">
        <f t="shared" si="62"/>
        <v>-21.052483616258492</v>
      </c>
      <c r="P152" s="297">
        <f t="shared" si="62"/>
        <v>-21.445888138669478</v>
      </c>
      <c r="Q152" s="297">
        <f t="shared" si="62"/>
        <v>-21.840768869819797</v>
      </c>
      <c r="R152" s="298">
        <f t="shared" si="62"/>
        <v>-22.237991514692112</v>
      </c>
      <c r="S152" s="297">
        <f t="shared" si="62"/>
        <v>-20.37457013010167</v>
      </c>
      <c r="T152" s="297">
        <f t="shared" si="62"/>
        <v>-20.836770372355819</v>
      </c>
      <c r="U152" s="298">
        <f t="shared" si="62"/>
        <v>-21.302569929015736</v>
      </c>
      <c r="V152" s="297">
        <f t="shared" si="62"/>
        <v>-21.772642576207502</v>
      </c>
      <c r="W152" s="297">
        <f t="shared" si="62"/>
        <v>-22.247655499115378</v>
      </c>
      <c r="X152" s="298">
        <f t="shared" si="62"/>
        <v>-22.728270151584692</v>
      </c>
      <c r="Y152" s="297">
        <f t="shared" si="62"/>
        <v>-23.215143098283143</v>
      </c>
      <c r="Z152" s="297">
        <f t="shared" si="62"/>
        <v>-23.708926840568015</v>
      </c>
      <c r="AA152" s="298">
        <f t="shared" si="62"/>
        <v>-24.210270627174896</v>
      </c>
      <c r="AB152" s="297">
        <f t="shared" si="62"/>
        <v>-24.719821250813094</v>
      </c>
      <c r="AC152" s="297">
        <f t="shared" si="62"/>
        <v>-25.238223831724049</v>
      </c>
      <c r="AD152" s="298">
        <f t="shared" si="62"/>
        <v>-25.76612258923188</v>
      </c>
    </row>
    <row r="153" spans="2:30" hidden="1" outlineLevel="1" x14ac:dyDescent="0.3">
      <c r="B153" s="174" t="s">
        <v>70</v>
      </c>
      <c r="D153" s="255"/>
      <c r="G153" s="296">
        <f>G151+G152</f>
        <v>18.899999999999999</v>
      </c>
      <c r="H153" s="297">
        <f t="shared" ref="H153:AC153" si="63">H151+H152</f>
        <v>18.559885679999997</v>
      </c>
      <c r="I153" s="298">
        <f t="shared" si="63"/>
        <v>18.270176848459201</v>
      </c>
      <c r="J153" s="297">
        <f t="shared" si="63"/>
        <v>18.029698713573168</v>
      </c>
      <c r="K153" s="297">
        <f t="shared" si="63"/>
        <v>17.837353321538934</v>
      </c>
      <c r="L153" s="298">
        <f t="shared" si="63"/>
        <v>17.692117511310062</v>
      </c>
      <c r="M153" s="297">
        <f t="shared" si="63"/>
        <v>17.593040978149201</v>
      </c>
      <c r="N153" s="297">
        <f t="shared" si="63"/>
        <v>17.539244442778042</v>
      </c>
      <c r="O153" s="298">
        <f t="shared" si="63"/>
        <v>17.529917923077392</v>
      </c>
      <c r="P153" s="297">
        <f t="shared" si="63"/>
        <v>17.564319105438141</v>
      </c>
      <c r="Q153" s="297">
        <f t="shared" si="63"/>
        <v>17.641771813007622</v>
      </c>
      <c r="R153" s="298">
        <f t="shared" si="63"/>
        <v>17.761664568214918</v>
      </c>
      <c r="S153" s="297">
        <f t="shared" si="63"/>
        <v>22.215383397797989</v>
      </c>
      <c r="T153" s="297">
        <f t="shared" si="63"/>
        <v>22.337944252954845</v>
      </c>
      <c r="U153" s="298">
        <f t="shared" si="63"/>
        <v>22.497227063516089</v>
      </c>
      <c r="V153" s="297">
        <f t="shared" si="63"/>
        <v>22.692754801110688</v>
      </c>
      <c r="W153" s="297">
        <f t="shared" si="63"/>
        <v>22.924099145450835</v>
      </c>
      <c r="X153" s="298">
        <f t="shared" si="63"/>
        <v>23.190879375412489</v>
      </c>
      <c r="Y153" s="297">
        <f t="shared" si="63"/>
        <v>23.492761326576925</v>
      </c>
      <c r="Z153" s="297">
        <f t="shared" si="63"/>
        <v>23.829456413270005</v>
      </c>
      <c r="AA153" s="298">
        <f t="shared" si="63"/>
        <v>24.20072071323094</v>
      </c>
      <c r="AB153" s="297">
        <f t="shared" si="63"/>
        <v>24.606354113133936</v>
      </c>
      <c r="AC153" s="297">
        <f t="shared" si="63"/>
        <v>25.046199513274743</v>
      </c>
      <c r="AD153" s="298">
        <f>AD151+AD152</f>
        <v>25.520142089819483</v>
      </c>
    </row>
    <row r="154" spans="2:30" hidden="1" outlineLevel="1" x14ac:dyDescent="0.3">
      <c r="B154" s="174" t="s">
        <v>73</v>
      </c>
      <c r="D154" s="255"/>
      <c r="G154" s="296">
        <f>G138*G142/1000</f>
        <v>1.8228000000000002</v>
      </c>
      <c r="H154" s="297">
        <f t="shared" ref="H154:AD154" si="64">H138*H142/1000</f>
        <v>1.8635653713600002</v>
      </c>
      <c r="I154" s="298">
        <f t="shared" si="64"/>
        <v>1.903832855799638</v>
      </c>
      <c r="J154" s="297">
        <f t="shared" si="64"/>
        <v>1.9436999189383837</v>
      </c>
      <c r="K154" s="297">
        <f t="shared" si="64"/>
        <v>1.9832620254193385</v>
      </c>
      <c r="L154" s="298">
        <f t="shared" si="64"/>
        <v>2.0226127844927975</v>
      </c>
      <c r="M154" s="297">
        <f t="shared" si="64"/>
        <v>2.0618440920180814</v>
      </c>
      <c r="N154" s="297">
        <f t="shared" si="64"/>
        <v>2.1010462690876737</v>
      </c>
      <c r="O154" s="298">
        <f t="shared" si="64"/>
        <v>2.1403081974720037</v>
      </c>
      <c r="P154" s="297">
        <f t="shared" si="64"/>
        <v>2.1797174520778237</v>
      </c>
      <c r="Q154" s="297">
        <f t="shared" si="64"/>
        <v>2.2193604306079955</v>
      </c>
      <c r="R154" s="298">
        <f t="shared" si="64"/>
        <v>2.2593224806056411</v>
      </c>
      <c r="S154" s="297">
        <f t="shared" si="64"/>
        <v>3.4624078385436725</v>
      </c>
      <c r="T154" s="297">
        <f t="shared" si="64"/>
        <v>3.5398088948181679</v>
      </c>
      <c r="U154" s="298">
        <f t="shared" si="64"/>
        <v>3.6179200026931708</v>
      </c>
      <c r="V154" s="297">
        <f t="shared" si="64"/>
        <v>3.6968520271045828</v>
      </c>
      <c r="W154" s="297">
        <f t="shared" si="64"/>
        <v>3.776714880622249</v>
      </c>
      <c r="X154" s="298">
        <f t="shared" si="64"/>
        <v>3.8576176633903527</v>
      </c>
      <c r="Y154" s="297">
        <f t="shared" si="64"/>
        <v>3.9396688003602542</v>
      </c>
      <c r="Z154" s="297">
        <f t="shared" si="64"/>
        <v>4.022976176001146</v>
      </c>
      <c r="AA154" s="298">
        <f t="shared" si="64"/>
        <v>4.1076472666688426</v>
      </c>
      <c r="AB154" s="297">
        <f t="shared" si="64"/>
        <v>4.1937892708082511</v>
      </c>
      <c r="AC154" s="297">
        <f t="shared" si="64"/>
        <v>4.2815092371604999</v>
      </c>
      <c r="AD154" s="298">
        <f t="shared" si="64"/>
        <v>4.3709141911414386</v>
      </c>
    </row>
    <row r="155" spans="2:30" hidden="1" outlineLevel="1" x14ac:dyDescent="0.3">
      <c r="B155" s="174" t="s">
        <v>61</v>
      </c>
      <c r="D155" s="255"/>
      <c r="G155" s="296">
        <f>G150+G153+G154</f>
        <v>913.22280000000001</v>
      </c>
      <c r="H155" s="297">
        <f t="shared" ref="H155:AC155" si="65">H150+H153+H154</f>
        <v>933.64625105135997</v>
      </c>
      <c r="I155" s="298">
        <f t="shared" si="65"/>
        <v>953.82026075561885</v>
      </c>
      <c r="J155" s="297">
        <f t="shared" si="65"/>
        <v>973.79365938813044</v>
      </c>
      <c r="K155" s="297">
        <f t="shared" si="65"/>
        <v>993.61427473508866</v>
      </c>
      <c r="L155" s="298">
        <f t="shared" si="65"/>
        <v>1013.3290050308915</v>
      </c>
      <c r="M155" s="297">
        <f t="shared" si="65"/>
        <v>1032.9838901010589</v>
      </c>
      <c r="N155" s="297">
        <f t="shared" si="65"/>
        <v>1052.6241808129246</v>
      </c>
      <c r="O155" s="298">
        <f t="shared" si="65"/>
        <v>1072.294406933474</v>
      </c>
      <c r="P155" s="297">
        <f t="shared" si="65"/>
        <v>1092.0384434909899</v>
      </c>
      <c r="Q155" s="297">
        <f t="shared" si="65"/>
        <v>1111.8995757346056</v>
      </c>
      <c r="R155" s="298">
        <f t="shared" si="65"/>
        <v>1131.920562783426</v>
      </c>
      <c r="S155" s="297">
        <f t="shared" si="65"/>
        <v>1157.5983540197676</v>
      </c>
      <c r="T155" s="297">
        <f t="shared" si="65"/>
        <v>1183.4761071675407</v>
      </c>
      <c r="U155" s="298">
        <f t="shared" si="65"/>
        <v>1209.5912542337499</v>
      </c>
      <c r="V155" s="297">
        <f t="shared" si="65"/>
        <v>1235.980861061965</v>
      </c>
      <c r="W155" s="297">
        <f t="shared" si="65"/>
        <v>1262.681675088038</v>
      </c>
      <c r="X155" s="298">
        <f t="shared" si="65"/>
        <v>1289.7301721268409</v>
      </c>
      <c r="Y155" s="297">
        <f t="shared" si="65"/>
        <v>1317.1626022537782</v>
      </c>
      <c r="Z155" s="297">
        <f t="shared" si="65"/>
        <v>1345.0150348430493</v>
      </c>
      <c r="AA155" s="298">
        <f t="shared" si="65"/>
        <v>1373.3234028229492</v>
      </c>
      <c r="AB155" s="297">
        <f t="shared" si="65"/>
        <v>1402.1235462068914</v>
      </c>
      <c r="AC155" s="297">
        <f t="shared" si="65"/>
        <v>1431.4512549573267</v>
      </c>
      <c r="AD155" s="298">
        <f>AD150+AD153+AD154</f>
        <v>1461.3423112382877</v>
      </c>
    </row>
    <row r="156" spans="2:30" hidden="1" outlineLevel="1" x14ac:dyDescent="0.3">
      <c r="B156" s="174" t="s">
        <v>63</v>
      </c>
      <c r="D156" s="255"/>
      <c r="E156" s="196"/>
      <c r="F156" s="196"/>
      <c r="G156" s="299">
        <f>G155/G150-1</f>
        <v>2.3218823529411736E-2</v>
      </c>
      <c r="H156" s="300">
        <f t="shared" ref="H156:AD156" si="66">H155/H150-1</f>
        <v>2.2364149308755632E-2</v>
      </c>
      <c r="I156" s="301">
        <f t="shared" si="66"/>
        <v>2.1607765983681082E-2</v>
      </c>
      <c r="J156" s="300">
        <f t="shared" si="66"/>
        <v>2.094042185336753E-2</v>
      </c>
      <c r="K156" s="300">
        <f t="shared" si="66"/>
        <v>2.0354019720576266E-2</v>
      </c>
      <c r="L156" s="301">
        <f t="shared" si="66"/>
        <v>1.9841432230891742E-2</v>
      </c>
      <c r="M156" s="300">
        <f t="shared" si="66"/>
        <v>1.9396351009974611E-2</v>
      </c>
      <c r="N156" s="300">
        <f t="shared" si="66"/>
        <v>1.9013162644718751E-2</v>
      </c>
      <c r="O156" s="301">
        <f t="shared" si="66"/>
        <v>1.8686846149932101E-2</v>
      </c>
      <c r="P156" s="300">
        <f t="shared" si="66"/>
        <v>1.8412887757178087E-2</v>
      </c>
      <c r="Q156" s="300">
        <f t="shared" si="66"/>
        <v>1.8187209765367029E-2</v>
      </c>
      <c r="R156" s="301">
        <f t="shared" si="66"/>
        <v>1.8006110880645965E-2</v>
      </c>
      <c r="S156" s="300">
        <f t="shared" si="66"/>
        <v>2.2685153075759246E-2</v>
      </c>
      <c r="T156" s="300">
        <f t="shared" si="66"/>
        <v>2.2354690690352452E-2</v>
      </c>
      <c r="U156" s="301">
        <f t="shared" si="66"/>
        <v>2.206647595844724E-2</v>
      </c>
      <c r="V156" s="300">
        <f t="shared" si="66"/>
        <v>2.1816962329917367E-2</v>
      </c>
      <c r="W156" s="300">
        <f t="shared" si="66"/>
        <v>2.1602934857042566E-2</v>
      </c>
      <c r="X156" s="301">
        <f t="shared" si="66"/>
        <v>2.1421469537773241E-2</v>
      </c>
      <c r="Y156" s="300">
        <f t="shared" si="66"/>
        <v>2.1269898711991475E-2</v>
      </c>
      <c r="Z156" s="300">
        <f t="shared" si="66"/>
        <v>2.1145781501549665E-2</v>
      </c>
      <c r="AA156" s="301">
        <f t="shared" si="66"/>
        <v>2.1046878470918573E-2</v>
      </c>
      <c r="AB156" s="300">
        <f t="shared" si="66"/>
        <v>2.0971129833469604E-2</v>
      </c>
      <c r="AC156" s="300">
        <f t="shared" si="66"/>
        <v>2.0916636647158704E-2</v>
      </c>
      <c r="AD156" s="301">
        <f t="shared" si="66"/>
        <v>2.0881644539025634E-2</v>
      </c>
    </row>
    <row r="157" spans="2:30" hidden="1" outlineLevel="1" x14ac:dyDescent="0.3">
      <c r="B157" s="165"/>
    </row>
    <row r="158" spans="2:30" hidden="1" outlineLevel="1" x14ac:dyDescent="0.3">
      <c r="B158" s="165" t="s">
        <v>50</v>
      </c>
      <c r="G158" s="294">
        <f>IF(Inputs!E182&gt;0,Inputs!E182,'Operational Model'!F163)</f>
        <v>10710</v>
      </c>
      <c r="H158" s="292">
        <f>IF(Inputs!F182&gt;0,Inputs!F182,'Operational Model'!G163)</f>
        <v>10958.6736</v>
      </c>
      <c r="I158" s="295">
        <f>IF(Inputs!G182&gt;0,Inputs!G182,'Operational Model'!H163)</f>
        <v>11203.755012616321</v>
      </c>
      <c r="J158" s="292">
        <f>IF(Inputs!H182&gt;0,Inputs!H182,'Operational Model'!I163)</f>
        <v>11445.843129067427</v>
      </c>
      <c r="K158" s="292">
        <f>IF(Inputs!I182&gt;0,Inputs!I182,'Operational Model'!J163)</f>
        <v>11685.523912657565</v>
      </c>
      <c r="L158" s="295">
        <f>IF(Inputs!J182&gt;0,Inputs!J182,'Operational Model'!K163)</f>
        <v>11923.371296821064</v>
      </c>
      <c r="M158" s="292">
        <f>IF(Inputs!K182&gt;0,Inputs!K182,'Operational Model'!L163)</f>
        <v>12159.948060370698</v>
      </c>
      <c r="N158" s="292">
        <f>IF(Inputs!L182&gt;0,Inputs!L182,'Operational Model'!M163)</f>
        <v>12395.806681212705</v>
      </c>
      <c r="O158" s="295">
        <f>IF(Inputs!M182&gt;0,Inputs!M182,'Operational Model'!N163)</f>
        <v>12631.490169755094</v>
      </c>
      <c r="P158" s="292">
        <f>IF(Inputs!N182&gt;0,Inputs!N182,'Operational Model'!O163)</f>
        <v>12867.532883201688</v>
      </c>
      <c r="Q158" s="292">
        <f>IF(Inputs!O182&gt;0,Inputs!O182,'Operational Model'!P163)</f>
        <v>13104.461321891878</v>
      </c>
      <c r="R158" s="295">
        <f>IF(Inputs!P182&gt;0,Inputs!P182,'Operational Model'!Q163)</f>
        <v>13342.794908815267</v>
      </c>
      <c r="S158" s="292">
        <f>IF(Inputs!Q182&gt;0,Inputs!Q182,'Operational Model'!R163)</f>
        <v>13583.046753401115</v>
      </c>
      <c r="T158" s="292">
        <f>IF(Inputs!R182&gt;0,Inputs!R182,'Operational Model'!S163)</f>
        <v>13891.180248237215</v>
      </c>
      <c r="U158" s="295">
        <f>IF(Inputs!S182&gt;0,Inputs!S182,'Operational Model'!T163)</f>
        <v>14201.713286010492</v>
      </c>
      <c r="V158" s="292">
        <f>IF(Inputs!T182&gt;0,Inputs!T182,'Operational Model'!U163)</f>
        <v>14515.095050805003</v>
      </c>
      <c r="W158" s="292">
        <f>IF(Inputs!U182&gt;0,Inputs!U182,'Operational Model'!V163)</f>
        <v>14831.770332743587</v>
      </c>
      <c r="X158" s="295">
        <f>IF(Inputs!V182&gt;0,Inputs!V182,'Operational Model'!W163)</f>
        <v>15152.180101056463</v>
      </c>
      <c r="Y158" s="292">
        <f>IF(Inputs!W182&gt;0,Inputs!W182,'Operational Model'!X163)</f>
        <v>15476.762065522098</v>
      </c>
      <c r="Z158" s="292">
        <f>IF(Inputs!X182&gt;0,Inputs!X182,'Operational Model'!Y163)</f>
        <v>15805.951227045345</v>
      </c>
      <c r="AA158" s="295">
        <f>IF(Inputs!Y182&gt;0,Inputs!Y182,'Operational Model'!Z163)</f>
        <v>16140.180418116599</v>
      </c>
      <c r="AB158" s="292">
        <f>IF(Inputs!Z182&gt;0,Inputs!Z182,'Operational Model'!AA163)</f>
        <v>16479.880833875395</v>
      </c>
      <c r="AC158" s="292">
        <f>IF(Inputs!AA182&gt;0,Inputs!AA182,'Operational Model'!AB163)</f>
        <v>16825.482554482704</v>
      </c>
      <c r="AD158" s="295">
        <f>IF(Inputs!AB182&gt;0,Inputs!AB182,'Operational Model'!AC163)</f>
        <v>17177.415059487928</v>
      </c>
    </row>
    <row r="159" spans="2:30" hidden="1" outlineLevel="1" x14ac:dyDescent="0.3">
      <c r="B159" s="174" t="s">
        <v>51</v>
      </c>
      <c r="G159" s="296">
        <f>G136*G141/1000*Inputs!$E$207</f>
        <v>441</v>
      </c>
      <c r="H159" s="297">
        <f>H136*H141/1000*Inputs!$E$207</f>
        <v>441.89210015999993</v>
      </c>
      <c r="I159" s="298">
        <f>I136*I141/1000*Inputs!$E$207</f>
        <v>443.31722243383678</v>
      </c>
      <c r="J159" s="297">
        <f>J136*J141/1000*Inputs!$E$207</f>
        <v>445.2732471442265</v>
      </c>
      <c r="K159" s="297">
        <f>K136*K141/1000*Inputs!$E$207</f>
        <v>447.75871811161852</v>
      </c>
      <c r="L159" s="298">
        <f>L136*L141/1000*Inputs!$E$207</f>
        <v>450.77283607214201</v>
      </c>
      <c r="M159" s="297">
        <f>M136*M141/1000*Inputs!$E$207</f>
        <v>454.31545294520436</v>
      </c>
      <c r="N159" s="297">
        <f>N136*N141/1000*Inputs!$E$207</f>
        <v>458.38706693759065</v>
      </c>
      <c r="O159" s="298">
        <f>O136*O141/1000*Inputs!$E$207</f>
        <v>462.98881847203063</v>
      </c>
      <c r="P159" s="297">
        <f>P136*P141/1000*Inputs!$E$207</f>
        <v>468.12248692929143</v>
      </c>
      <c r="Q159" s="297">
        <f>Q136*Q141/1000*Inputs!$E$207</f>
        <v>473.79048819392904</v>
      </c>
      <c r="R159" s="298">
        <f>R136*R141/1000*Inputs!$E$207</f>
        <v>479.99587299488439</v>
      </c>
      <c r="S159" s="297">
        <f>S136*S141/1000*Inputs!$E$207</f>
        <v>511.07944233479589</v>
      </c>
      <c r="T159" s="297">
        <f>T136*T141/1000*Inputs!$E$207</f>
        <v>518.09657550372799</v>
      </c>
      <c r="U159" s="298">
        <f>U136*U141/1000*Inputs!$E$207</f>
        <v>525.59756391038195</v>
      </c>
      <c r="V159" s="297">
        <f>V136*V141/1000*Inputs!$E$207</f>
        <v>533.58476852781826</v>
      </c>
      <c r="W159" s="297">
        <f>W136*W141/1000*Inputs!$E$207</f>
        <v>542.06105573479454</v>
      </c>
      <c r="X159" s="298">
        <f>X136*X141/1000*Inputs!$E$207</f>
        <v>551.02979432396614</v>
      </c>
      <c r="Y159" s="297">
        <f>Y136*Y141/1000*Inputs!$E$207</f>
        <v>560.49485309832085</v>
      </c>
      <c r="Z159" s="297">
        <f>Z136*Z141/1000*Inputs!$E$207</f>
        <v>570.46059904605625</v>
      </c>
      <c r="AA159" s="298">
        <f>AA136*AA141/1000*Inputs!$E$207</f>
        <v>580.93189608487</v>
      </c>
      <c r="AB159" s="297">
        <f>AB136*AB141/1000*Inputs!$E$207</f>
        <v>591.91410436736442</v>
      </c>
      <c r="AC159" s="297">
        <f>AC136*AC141/1000*Inputs!$E$207</f>
        <v>603.41308013998548</v>
      </c>
      <c r="AD159" s="298">
        <f>AD136*AD141/1000*Inputs!$E$207</f>
        <v>615.43517614861639</v>
      </c>
    </row>
    <row r="160" spans="2:30" hidden="1" outlineLevel="1" x14ac:dyDescent="0.3">
      <c r="B160" s="174" t="s">
        <v>69</v>
      </c>
      <c r="G160" s="296">
        <f>G137*G141/1000*Inputs!$E$207</f>
        <v>-214.20000000000002</v>
      </c>
      <c r="H160" s="297">
        <f>H137*H141/1000*Inputs!$E$207</f>
        <v>-219.173472</v>
      </c>
      <c r="I160" s="298">
        <f>I137*I141/1000*Inputs!$E$207</f>
        <v>-224.07510025232637</v>
      </c>
      <c r="J160" s="297">
        <f>J137*J141/1000*Inputs!$E$207</f>
        <v>-228.91686258134848</v>
      </c>
      <c r="K160" s="297">
        <f>K137*K141/1000*Inputs!$E$207</f>
        <v>-233.71047825315131</v>
      </c>
      <c r="L160" s="298">
        <f>L137*L141/1000*Inputs!$E$207</f>
        <v>-238.46742593642131</v>
      </c>
      <c r="M160" s="297">
        <f>M137*M141/1000*Inputs!$E$207</f>
        <v>-243.1989612074139</v>
      </c>
      <c r="N160" s="297">
        <f>N137*N141/1000*Inputs!$E$207</f>
        <v>-247.91613362425414</v>
      </c>
      <c r="O160" s="298">
        <f>O137*O141/1000*Inputs!$E$207</f>
        <v>-252.6298033951019</v>
      </c>
      <c r="P160" s="297">
        <f>P137*P141/1000*Inputs!$E$207</f>
        <v>-257.35065766403375</v>
      </c>
      <c r="Q160" s="297">
        <f>Q137*Q141/1000*Inputs!$E$207</f>
        <v>-262.08922643783757</v>
      </c>
      <c r="R160" s="298">
        <f>R137*R141/1000*Inputs!$E$207</f>
        <v>-266.85589817630535</v>
      </c>
      <c r="S160" s="297">
        <f>S137*S141/1000*Inputs!$E$207</f>
        <v>-244.49484156122003</v>
      </c>
      <c r="T160" s="297">
        <f>T137*T141/1000*Inputs!$E$207</f>
        <v>-250.04124446826984</v>
      </c>
      <c r="U160" s="298">
        <f>U137*U141/1000*Inputs!$E$207</f>
        <v>-255.63083914818884</v>
      </c>
      <c r="V160" s="297">
        <f>V137*V141/1000*Inputs!$E$207</f>
        <v>-261.27171091449003</v>
      </c>
      <c r="W160" s="297">
        <f>W137*W141/1000*Inputs!$E$207</f>
        <v>-266.97186598938453</v>
      </c>
      <c r="X160" s="298">
        <f>X137*X141/1000*Inputs!$E$207</f>
        <v>-272.73924181901629</v>
      </c>
      <c r="Y160" s="297">
        <f>Y137*Y141/1000*Inputs!$E$207</f>
        <v>-278.58171717939774</v>
      </c>
      <c r="Z160" s="297">
        <f>Z137*Z141/1000*Inputs!$E$207</f>
        <v>-284.5071220868162</v>
      </c>
      <c r="AA160" s="298">
        <f>AA137*AA141/1000*Inputs!$E$207</f>
        <v>-290.52324752609877</v>
      </c>
      <c r="AB160" s="297">
        <f>AB137*AB141/1000*Inputs!$E$207</f>
        <v>-296.63785500975712</v>
      </c>
      <c r="AC160" s="297">
        <f>AC137*AC141/1000*Inputs!$E$207</f>
        <v>-302.85868598068862</v>
      </c>
      <c r="AD160" s="298">
        <f>AD137*AD141/1000*Inputs!$E$207</f>
        <v>-309.19347107078255</v>
      </c>
    </row>
    <row r="161" spans="1:30" hidden="1" outlineLevel="1" x14ac:dyDescent="0.3">
      <c r="B161" s="174" t="s">
        <v>64</v>
      </c>
      <c r="D161" s="255"/>
      <c r="G161" s="296">
        <f>G159+G160</f>
        <v>226.79999999999998</v>
      </c>
      <c r="H161" s="297">
        <f t="shared" ref="H161:AD161" si="67">H159+H160</f>
        <v>222.71862815999992</v>
      </c>
      <c r="I161" s="298">
        <f t="shared" si="67"/>
        <v>219.24212218151041</v>
      </c>
      <c r="J161" s="297">
        <f t="shared" si="67"/>
        <v>216.35638456287802</v>
      </c>
      <c r="K161" s="297">
        <f t="shared" si="67"/>
        <v>214.04823985846721</v>
      </c>
      <c r="L161" s="298">
        <f t="shared" si="67"/>
        <v>212.30541013572071</v>
      </c>
      <c r="M161" s="297">
        <f t="shared" si="67"/>
        <v>211.11649173779045</v>
      </c>
      <c r="N161" s="297">
        <f t="shared" si="67"/>
        <v>210.4709333133365</v>
      </c>
      <c r="O161" s="298">
        <f t="shared" si="67"/>
        <v>210.35901507692873</v>
      </c>
      <c r="P161" s="297">
        <f t="shared" si="67"/>
        <v>210.77182926525768</v>
      </c>
      <c r="Q161" s="297">
        <f t="shared" si="67"/>
        <v>211.70126175609147</v>
      </c>
      <c r="R161" s="298">
        <f t="shared" si="67"/>
        <v>213.13997481857905</v>
      </c>
      <c r="S161" s="297">
        <f t="shared" si="67"/>
        <v>266.58460077357586</v>
      </c>
      <c r="T161" s="297">
        <f t="shared" si="67"/>
        <v>268.05533103545815</v>
      </c>
      <c r="U161" s="298">
        <f t="shared" si="67"/>
        <v>269.96672476219311</v>
      </c>
      <c r="V161" s="297">
        <f t="shared" si="67"/>
        <v>272.31305761332823</v>
      </c>
      <c r="W161" s="297">
        <f t="shared" si="67"/>
        <v>275.08918974541001</v>
      </c>
      <c r="X161" s="298">
        <f t="shared" si="67"/>
        <v>278.29055250494986</v>
      </c>
      <c r="Y161" s="297">
        <f t="shared" si="67"/>
        <v>281.9131359189231</v>
      </c>
      <c r="Z161" s="297">
        <f t="shared" si="67"/>
        <v>285.95347695924005</v>
      </c>
      <c r="AA161" s="298">
        <f t="shared" si="67"/>
        <v>290.40864855877123</v>
      </c>
      <c r="AB161" s="297">
        <f t="shared" si="67"/>
        <v>295.2762493576073</v>
      </c>
      <c r="AC161" s="297">
        <f t="shared" si="67"/>
        <v>300.55439415929686</v>
      </c>
      <c r="AD161" s="298">
        <f t="shared" si="67"/>
        <v>306.24170507783384</v>
      </c>
    </row>
    <row r="162" spans="1:30" hidden="1" outlineLevel="1" x14ac:dyDescent="0.3">
      <c r="B162" s="174" t="s">
        <v>75</v>
      </c>
      <c r="D162" s="255"/>
      <c r="G162" s="296">
        <f>G138*G142/1000*Inputs!$E$207</f>
        <v>21.873600000000003</v>
      </c>
      <c r="H162" s="297">
        <f>H138*H142/1000*Inputs!$E$207</f>
        <v>22.362784456320004</v>
      </c>
      <c r="I162" s="298">
        <f>I138*I142/1000*Inputs!$E$207</f>
        <v>22.845994269595657</v>
      </c>
      <c r="J162" s="297">
        <f>J138*J142/1000*Inputs!$E$207</f>
        <v>23.324399027260604</v>
      </c>
      <c r="K162" s="297">
        <f>K138*K142/1000*Inputs!$E$207</f>
        <v>23.799144305032062</v>
      </c>
      <c r="L162" s="298">
        <f>L138*L142/1000*Inputs!$E$207</f>
        <v>24.27135341391357</v>
      </c>
      <c r="M162" s="297">
        <f>M138*M142/1000*Inputs!$E$207</f>
        <v>24.742129104216978</v>
      </c>
      <c r="N162" s="297">
        <f>N138*N142/1000*Inputs!$E$207</f>
        <v>25.212555229052086</v>
      </c>
      <c r="O162" s="298">
        <f>O138*O142/1000*Inputs!$E$207</f>
        <v>25.683698369664043</v>
      </c>
      <c r="P162" s="297">
        <f>P138*P142/1000*Inputs!$E$207</f>
        <v>26.156609424933883</v>
      </c>
      <c r="Q162" s="297">
        <f>Q138*Q142/1000*Inputs!$E$207</f>
        <v>26.632325167295946</v>
      </c>
      <c r="R162" s="298">
        <f>R138*R142/1000*Inputs!$E$207</f>
        <v>27.111869767267692</v>
      </c>
      <c r="S162" s="297">
        <f>S138*S142/1000*Inputs!$E$207</f>
        <v>41.54889406252407</v>
      </c>
      <c r="T162" s="297">
        <f>T138*T142/1000*Inputs!$E$207</f>
        <v>42.477706737818011</v>
      </c>
      <c r="U162" s="298">
        <f>U138*U142/1000*Inputs!$E$207</f>
        <v>43.415040032318046</v>
      </c>
      <c r="V162" s="297">
        <f>V138*V142/1000*Inputs!$E$207</f>
        <v>44.362224325254992</v>
      </c>
      <c r="W162" s="297">
        <f>W138*W142/1000*Inputs!$E$207</f>
        <v>45.320578567466988</v>
      </c>
      <c r="X162" s="298">
        <f>X138*X142/1000*Inputs!$E$207</f>
        <v>46.291411960684229</v>
      </c>
      <c r="Y162" s="297">
        <f>Y138*Y142/1000*Inputs!$E$207</f>
        <v>47.276025604323053</v>
      </c>
      <c r="Z162" s="297">
        <f>Z138*Z142/1000*Inputs!$E$207</f>
        <v>48.275714112013752</v>
      </c>
      <c r="AA162" s="298">
        <f>AA138*AA142/1000*Inputs!$E$207</f>
        <v>49.291767200026115</v>
      </c>
      <c r="AB162" s="297">
        <f>AB138*AB142/1000*Inputs!$E$207</f>
        <v>50.325471249699014</v>
      </c>
      <c r="AC162" s="297">
        <f>AC138*AC142/1000*Inputs!$E$207</f>
        <v>51.378110845926003</v>
      </c>
      <c r="AD162" s="298">
        <f>AD138*AD142/1000*Inputs!$E$207</f>
        <v>52.450970293697267</v>
      </c>
    </row>
    <row r="163" spans="1:30" hidden="1" outlineLevel="1" x14ac:dyDescent="0.3">
      <c r="B163" s="174" t="s">
        <v>62</v>
      </c>
      <c r="G163" s="296">
        <f>G158+G161+G162</f>
        <v>10958.6736</v>
      </c>
      <c r="H163" s="297">
        <f t="shared" ref="H163:AD163" si="68">H158+H161+H162</f>
        <v>11203.755012616321</v>
      </c>
      <c r="I163" s="298">
        <f t="shared" si="68"/>
        <v>11445.843129067427</v>
      </c>
      <c r="J163" s="297">
        <f t="shared" si="68"/>
        <v>11685.523912657565</v>
      </c>
      <c r="K163" s="297">
        <f t="shared" si="68"/>
        <v>11923.371296821064</v>
      </c>
      <c r="L163" s="298">
        <f t="shared" si="68"/>
        <v>12159.948060370698</v>
      </c>
      <c r="M163" s="297">
        <f t="shared" si="68"/>
        <v>12395.806681212705</v>
      </c>
      <c r="N163" s="297">
        <f t="shared" si="68"/>
        <v>12631.490169755094</v>
      </c>
      <c r="O163" s="298">
        <f t="shared" si="68"/>
        <v>12867.532883201688</v>
      </c>
      <c r="P163" s="297">
        <f t="shared" si="68"/>
        <v>13104.461321891878</v>
      </c>
      <c r="Q163" s="297">
        <f t="shared" si="68"/>
        <v>13342.794908815267</v>
      </c>
      <c r="R163" s="298">
        <f t="shared" si="68"/>
        <v>13583.046753401115</v>
      </c>
      <c r="S163" s="297">
        <f t="shared" si="68"/>
        <v>13891.180248237215</v>
      </c>
      <c r="T163" s="297">
        <f t="shared" si="68"/>
        <v>14201.713286010492</v>
      </c>
      <c r="U163" s="298">
        <f t="shared" si="68"/>
        <v>14515.095050805003</v>
      </c>
      <c r="V163" s="297">
        <f t="shared" si="68"/>
        <v>14831.770332743587</v>
      </c>
      <c r="W163" s="297">
        <f t="shared" si="68"/>
        <v>15152.180101056463</v>
      </c>
      <c r="X163" s="298">
        <f t="shared" si="68"/>
        <v>15476.762065522098</v>
      </c>
      <c r="Y163" s="297">
        <f t="shared" si="68"/>
        <v>15805.951227045345</v>
      </c>
      <c r="Z163" s="297">
        <f t="shared" si="68"/>
        <v>16140.180418116599</v>
      </c>
      <c r="AA163" s="298">
        <f t="shared" si="68"/>
        <v>16479.880833875395</v>
      </c>
      <c r="AB163" s="297">
        <f t="shared" si="68"/>
        <v>16825.482554482704</v>
      </c>
      <c r="AC163" s="297">
        <f t="shared" si="68"/>
        <v>17177.415059487928</v>
      </c>
      <c r="AD163" s="298">
        <f t="shared" si="68"/>
        <v>17536.107734859459</v>
      </c>
    </row>
    <row r="164" spans="1:30" hidden="1" outlineLevel="1" x14ac:dyDescent="0.3">
      <c r="B164" s="174" t="s">
        <v>67</v>
      </c>
      <c r="D164" s="255"/>
      <c r="G164" s="299">
        <f>G163/G158-1</f>
        <v>2.3218823529411736E-2</v>
      </c>
      <c r="H164" s="300">
        <f t="shared" ref="H164:AD164" si="69">H163/H158-1</f>
        <v>2.2364149308755854E-2</v>
      </c>
      <c r="I164" s="301">
        <f t="shared" si="69"/>
        <v>2.1607765983681082E-2</v>
      </c>
      <c r="J164" s="300">
        <f t="shared" si="69"/>
        <v>2.0940421853367308E-2</v>
      </c>
      <c r="K164" s="300">
        <f t="shared" si="69"/>
        <v>2.0354019720576266E-2</v>
      </c>
      <c r="L164" s="301">
        <f t="shared" si="69"/>
        <v>1.9841432230891742E-2</v>
      </c>
      <c r="M164" s="300">
        <f t="shared" si="69"/>
        <v>1.9396351009974389E-2</v>
      </c>
      <c r="N164" s="300">
        <f t="shared" si="69"/>
        <v>1.9013162644718751E-2</v>
      </c>
      <c r="O164" s="301">
        <f t="shared" si="69"/>
        <v>1.8686846149932101E-2</v>
      </c>
      <c r="P164" s="300">
        <f t="shared" si="69"/>
        <v>1.8412887757178087E-2</v>
      </c>
      <c r="Q164" s="300">
        <f t="shared" si="69"/>
        <v>1.8187209765367252E-2</v>
      </c>
      <c r="R164" s="301">
        <f t="shared" si="69"/>
        <v>1.8006110880646187E-2</v>
      </c>
      <c r="S164" s="300">
        <f t="shared" si="69"/>
        <v>2.2685153075759246E-2</v>
      </c>
      <c r="T164" s="300">
        <f t="shared" si="69"/>
        <v>2.2354690690352452E-2</v>
      </c>
      <c r="U164" s="301">
        <f t="shared" si="69"/>
        <v>2.206647595844724E-2</v>
      </c>
      <c r="V164" s="300">
        <f t="shared" si="69"/>
        <v>2.1816962329917367E-2</v>
      </c>
      <c r="W164" s="300">
        <f t="shared" si="69"/>
        <v>2.1602934857042566E-2</v>
      </c>
      <c r="X164" s="301">
        <f t="shared" si="69"/>
        <v>2.1421469537773241E-2</v>
      </c>
      <c r="Y164" s="300">
        <f t="shared" si="69"/>
        <v>2.1269898711991475E-2</v>
      </c>
      <c r="Z164" s="300">
        <f t="shared" si="69"/>
        <v>2.1145781501549887E-2</v>
      </c>
      <c r="AA164" s="301">
        <f t="shared" si="69"/>
        <v>2.1046878470918351E-2</v>
      </c>
      <c r="AB164" s="300">
        <f t="shared" si="69"/>
        <v>2.0971129833469604E-2</v>
      </c>
      <c r="AC164" s="300">
        <f t="shared" si="69"/>
        <v>2.0916636647158926E-2</v>
      </c>
      <c r="AD164" s="301">
        <f t="shared" si="69"/>
        <v>2.0881644539025412E-2</v>
      </c>
    </row>
    <row r="165" spans="1:30" hidden="1" outlineLevel="1" x14ac:dyDescent="0.3">
      <c r="B165" s="165"/>
    </row>
    <row r="166" spans="1:30" hidden="1" outlineLevel="1" x14ac:dyDescent="0.3">
      <c r="B166" s="282" t="s">
        <v>76</v>
      </c>
      <c r="G166" s="302">
        <f>IF((G155*12)=G163,0,1)</f>
        <v>0</v>
      </c>
      <c r="H166" s="303">
        <f t="shared" ref="H166:AD166" si="70">IF((H155*12)=H163,0,1)</f>
        <v>0</v>
      </c>
      <c r="I166" s="303">
        <f t="shared" si="70"/>
        <v>0</v>
      </c>
      <c r="J166" s="303">
        <f t="shared" si="70"/>
        <v>0</v>
      </c>
      <c r="K166" s="303">
        <f t="shared" si="70"/>
        <v>0</v>
      </c>
      <c r="L166" s="303">
        <f t="shared" si="70"/>
        <v>0</v>
      </c>
      <c r="M166" s="303">
        <f t="shared" si="70"/>
        <v>0</v>
      </c>
      <c r="N166" s="303">
        <f t="shared" si="70"/>
        <v>0</v>
      </c>
      <c r="O166" s="303">
        <f t="shared" si="70"/>
        <v>0</v>
      </c>
      <c r="P166" s="303">
        <f t="shared" si="70"/>
        <v>0</v>
      </c>
      <c r="Q166" s="303">
        <f t="shared" si="70"/>
        <v>0</v>
      </c>
      <c r="R166" s="303">
        <f t="shared" si="70"/>
        <v>0</v>
      </c>
      <c r="S166" s="303">
        <f t="shared" si="70"/>
        <v>0</v>
      </c>
      <c r="T166" s="303">
        <f t="shared" si="70"/>
        <v>0</v>
      </c>
      <c r="U166" s="303">
        <f t="shared" si="70"/>
        <v>0</v>
      </c>
      <c r="V166" s="303">
        <f t="shared" si="70"/>
        <v>0</v>
      </c>
      <c r="W166" s="303">
        <f t="shared" si="70"/>
        <v>0</v>
      </c>
      <c r="X166" s="303">
        <f t="shared" si="70"/>
        <v>0</v>
      </c>
      <c r="Y166" s="303">
        <f t="shared" si="70"/>
        <v>0</v>
      </c>
      <c r="Z166" s="303">
        <f t="shared" si="70"/>
        <v>0</v>
      </c>
      <c r="AA166" s="303">
        <f t="shared" si="70"/>
        <v>0</v>
      </c>
      <c r="AB166" s="303">
        <f t="shared" si="70"/>
        <v>0</v>
      </c>
      <c r="AC166" s="303">
        <f t="shared" si="70"/>
        <v>0</v>
      </c>
      <c r="AD166" s="304">
        <f t="shared" si="70"/>
        <v>0</v>
      </c>
    </row>
    <row r="167" spans="1:30" hidden="1" outlineLevel="1" x14ac:dyDescent="0.3"/>
    <row r="168" spans="1:30" hidden="1" outlineLevel="1" x14ac:dyDescent="0.3"/>
    <row r="169" spans="1:30" collapsed="1" x14ac:dyDescent="0.3"/>
    <row r="170" spans="1:30" ht="21" x14ac:dyDescent="0.3">
      <c r="A170" s="149" t="s">
        <v>33</v>
      </c>
      <c r="B170" s="152" t="s">
        <v>77</v>
      </c>
      <c r="C170" s="153"/>
      <c r="D170" s="153"/>
      <c r="E170" s="153"/>
      <c r="F170" s="153"/>
      <c r="G170" s="153"/>
      <c r="H170" s="153"/>
      <c r="I170" s="153"/>
      <c r="J170" s="153"/>
      <c r="K170" s="153"/>
      <c r="L170" s="153"/>
      <c r="M170" s="153"/>
      <c r="N170" s="153"/>
      <c r="O170" s="153"/>
      <c r="P170" s="153"/>
      <c r="Q170" s="153"/>
      <c r="R170" s="153"/>
      <c r="S170" s="153"/>
      <c r="T170" s="153"/>
      <c r="U170" s="153"/>
      <c r="V170" s="153"/>
      <c r="W170" s="153"/>
      <c r="X170" s="153"/>
      <c r="Y170" s="153"/>
      <c r="Z170" s="153"/>
      <c r="AA170" s="153"/>
      <c r="AB170" s="153"/>
      <c r="AC170" s="153"/>
      <c r="AD170" s="153"/>
    </row>
    <row r="171" spans="1:30" hidden="1" outlineLevel="1" x14ac:dyDescent="0.3"/>
    <row r="172" spans="1:30" hidden="1" outlineLevel="1" x14ac:dyDescent="0.3">
      <c r="B172" s="155" t="s">
        <v>24</v>
      </c>
      <c r="G172" s="156">
        <f>G$5</f>
        <v>2026</v>
      </c>
      <c r="H172" s="157">
        <f t="shared" ref="H172:AD172" si="71">H$5</f>
        <v>2026</v>
      </c>
      <c r="I172" s="158">
        <f t="shared" si="71"/>
        <v>2026</v>
      </c>
      <c r="J172" s="157">
        <f t="shared" si="71"/>
        <v>2026</v>
      </c>
      <c r="K172" s="157">
        <f t="shared" si="71"/>
        <v>2026</v>
      </c>
      <c r="L172" s="158">
        <f t="shared" si="71"/>
        <v>2026</v>
      </c>
      <c r="M172" s="157">
        <f t="shared" si="71"/>
        <v>2026</v>
      </c>
      <c r="N172" s="157">
        <f t="shared" si="71"/>
        <v>2026</v>
      </c>
      <c r="O172" s="158">
        <f t="shared" si="71"/>
        <v>2026</v>
      </c>
      <c r="P172" s="157">
        <f t="shared" si="71"/>
        <v>2026</v>
      </c>
      <c r="Q172" s="157">
        <f t="shared" si="71"/>
        <v>2026</v>
      </c>
      <c r="R172" s="159">
        <f t="shared" si="71"/>
        <v>2026</v>
      </c>
      <c r="S172" s="157">
        <f t="shared" si="71"/>
        <v>2027</v>
      </c>
      <c r="T172" s="157">
        <f t="shared" si="71"/>
        <v>2027</v>
      </c>
      <c r="U172" s="158">
        <f t="shared" si="71"/>
        <v>2027</v>
      </c>
      <c r="V172" s="157">
        <f t="shared" si="71"/>
        <v>2027</v>
      </c>
      <c r="W172" s="157">
        <f t="shared" si="71"/>
        <v>2027</v>
      </c>
      <c r="X172" s="158">
        <f t="shared" si="71"/>
        <v>2027</v>
      </c>
      <c r="Y172" s="157">
        <f t="shared" si="71"/>
        <v>2027</v>
      </c>
      <c r="Z172" s="157">
        <f t="shared" si="71"/>
        <v>2027</v>
      </c>
      <c r="AA172" s="158">
        <f t="shared" si="71"/>
        <v>2027</v>
      </c>
      <c r="AB172" s="157">
        <f t="shared" si="71"/>
        <v>2027</v>
      </c>
      <c r="AC172" s="157">
        <f t="shared" si="71"/>
        <v>2027</v>
      </c>
      <c r="AD172" s="159">
        <f t="shared" si="71"/>
        <v>2027</v>
      </c>
    </row>
    <row r="173" spans="1:30" hidden="1" outlineLevel="1" x14ac:dyDescent="0.3">
      <c r="B173" s="155" t="str" cm="1">
        <f t="array" ref="B173">CONCATENATE("Model Running: ",INDEX(Inputs!$B$15:$B$17,Inputs!$D$8)," Drivers")</f>
        <v>Model Running: Base Case Drivers</v>
      </c>
      <c r="G173" s="161">
        <f>G$6</f>
        <v>1</v>
      </c>
      <c r="H173" s="162">
        <f t="shared" ref="H173:AD173" si="72">H$6</f>
        <v>1</v>
      </c>
      <c r="I173" s="163">
        <f t="shared" si="72"/>
        <v>1</v>
      </c>
      <c r="J173" s="162">
        <f t="shared" si="72"/>
        <v>2</v>
      </c>
      <c r="K173" s="162">
        <f t="shared" si="72"/>
        <v>2</v>
      </c>
      <c r="L173" s="163">
        <f t="shared" si="72"/>
        <v>2</v>
      </c>
      <c r="M173" s="162">
        <f t="shared" si="72"/>
        <v>3</v>
      </c>
      <c r="N173" s="162">
        <f t="shared" si="72"/>
        <v>3</v>
      </c>
      <c r="O173" s="163">
        <f t="shared" si="72"/>
        <v>3</v>
      </c>
      <c r="P173" s="162">
        <f t="shared" si="72"/>
        <v>4</v>
      </c>
      <c r="Q173" s="162">
        <f t="shared" si="72"/>
        <v>4</v>
      </c>
      <c r="R173" s="164">
        <f t="shared" si="72"/>
        <v>4</v>
      </c>
      <c r="S173" s="162">
        <f t="shared" si="72"/>
        <v>1</v>
      </c>
      <c r="T173" s="162">
        <f t="shared" si="72"/>
        <v>1</v>
      </c>
      <c r="U173" s="163">
        <f t="shared" si="72"/>
        <v>1</v>
      </c>
      <c r="V173" s="162">
        <f t="shared" si="72"/>
        <v>2</v>
      </c>
      <c r="W173" s="162">
        <f t="shared" si="72"/>
        <v>2</v>
      </c>
      <c r="X173" s="163">
        <f t="shared" si="72"/>
        <v>2</v>
      </c>
      <c r="Y173" s="162">
        <f t="shared" si="72"/>
        <v>3</v>
      </c>
      <c r="Z173" s="162">
        <f t="shared" si="72"/>
        <v>3</v>
      </c>
      <c r="AA173" s="163">
        <f t="shared" si="72"/>
        <v>3</v>
      </c>
      <c r="AB173" s="162">
        <f t="shared" si="72"/>
        <v>4</v>
      </c>
      <c r="AC173" s="162">
        <f t="shared" si="72"/>
        <v>4</v>
      </c>
      <c r="AD173" s="164">
        <f t="shared" si="72"/>
        <v>4</v>
      </c>
    </row>
    <row r="174" spans="1:30" hidden="1" outlineLevel="1" x14ac:dyDescent="0.3">
      <c r="G174" s="166">
        <f>G$7</f>
        <v>46053</v>
      </c>
      <c r="H174" s="167">
        <f t="shared" ref="H174:AD174" si="73">H$7</f>
        <v>46081</v>
      </c>
      <c r="I174" s="168">
        <f t="shared" si="73"/>
        <v>46112</v>
      </c>
      <c r="J174" s="167">
        <f t="shared" si="73"/>
        <v>46142</v>
      </c>
      <c r="K174" s="167">
        <f t="shared" si="73"/>
        <v>46173</v>
      </c>
      <c r="L174" s="168">
        <f t="shared" si="73"/>
        <v>46203</v>
      </c>
      <c r="M174" s="167">
        <f t="shared" si="73"/>
        <v>46234</v>
      </c>
      <c r="N174" s="167">
        <f t="shared" si="73"/>
        <v>46265</v>
      </c>
      <c r="O174" s="168">
        <f t="shared" si="73"/>
        <v>46295</v>
      </c>
      <c r="P174" s="167">
        <f t="shared" si="73"/>
        <v>46326</v>
      </c>
      <c r="Q174" s="167">
        <f t="shared" si="73"/>
        <v>46356</v>
      </c>
      <c r="R174" s="169">
        <f t="shared" si="73"/>
        <v>46387</v>
      </c>
      <c r="S174" s="167">
        <f t="shared" si="73"/>
        <v>46418</v>
      </c>
      <c r="T174" s="167">
        <f t="shared" si="73"/>
        <v>46446</v>
      </c>
      <c r="U174" s="168">
        <f t="shared" si="73"/>
        <v>46477</v>
      </c>
      <c r="V174" s="167">
        <f t="shared" si="73"/>
        <v>46507</v>
      </c>
      <c r="W174" s="167">
        <f t="shared" si="73"/>
        <v>46538</v>
      </c>
      <c r="X174" s="168">
        <f t="shared" si="73"/>
        <v>46568</v>
      </c>
      <c r="Y174" s="167">
        <f t="shared" si="73"/>
        <v>46599</v>
      </c>
      <c r="Z174" s="167">
        <f t="shared" si="73"/>
        <v>46630</v>
      </c>
      <c r="AA174" s="168">
        <f t="shared" si="73"/>
        <v>46660</v>
      </c>
      <c r="AB174" s="167">
        <f t="shared" si="73"/>
        <v>46691</v>
      </c>
      <c r="AC174" s="167">
        <f t="shared" si="73"/>
        <v>46721</v>
      </c>
      <c r="AD174" s="169">
        <f t="shared" si="73"/>
        <v>46752</v>
      </c>
    </row>
    <row r="175" spans="1:30" hidden="1" outlineLevel="1" x14ac:dyDescent="0.3"/>
    <row r="176" spans="1:30" hidden="1" outlineLevel="1" x14ac:dyDescent="0.3"/>
    <row r="177" spans="2:30" hidden="1" outlineLevel="1" x14ac:dyDescent="0.3">
      <c r="B177" s="172" t="s">
        <v>78</v>
      </c>
      <c r="E177" s="291" t="s">
        <v>40</v>
      </c>
      <c r="F177" s="291"/>
    </row>
    <row r="178" spans="2:30" hidden="1" outlineLevel="1" x14ac:dyDescent="0.3"/>
    <row r="179" spans="2:30" hidden="1" outlineLevel="1" x14ac:dyDescent="0.3">
      <c r="B179" s="173" t="s">
        <v>79</v>
      </c>
    </row>
    <row r="180" spans="2:30" hidden="1" outlineLevel="1" x14ac:dyDescent="0.3">
      <c r="B180" s="191" t="s">
        <v>80</v>
      </c>
      <c r="G180" s="286">
        <f>IF(Inputs!E185&gt;0,Inputs!E185,'Operational Model'!F182)</f>
        <v>20</v>
      </c>
      <c r="H180" s="286">
        <f>IF(Inputs!F185&gt;0,Inputs!F185,'Operational Model'!G182)</f>
        <v>20.7</v>
      </c>
      <c r="I180" s="286">
        <f>IF(Inputs!G185&gt;0,Inputs!G185,'Operational Model'!H182)</f>
        <v>21.4</v>
      </c>
      <c r="J180" s="286">
        <f>IF(Inputs!H185&gt;0,Inputs!H185,'Operational Model'!I182)</f>
        <v>22.099999999999998</v>
      </c>
      <c r="K180" s="286">
        <f>IF(Inputs!I185&gt;0,Inputs!I185,'Operational Model'!J182)</f>
        <v>22.799999999999997</v>
      </c>
      <c r="L180" s="286">
        <f>IF(Inputs!J185&gt;0,Inputs!J185,'Operational Model'!K182)</f>
        <v>23.499999999999996</v>
      </c>
      <c r="M180" s="286">
        <f>IF(Inputs!K185&gt;0,Inputs!K185,'Operational Model'!L182)</f>
        <v>24.199999999999996</v>
      </c>
      <c r="N180" s="286">
        <f>IF(Inputs!L185&gt;0,Inputs!L185,'Operational Model'!M182)</f>
        <v>24.899999999999995</v>
      </c>
      <c r="O180" s="286">
        <f>IF(Inputs!M185&gt;0,Inputs!M185,'Operational Model'!N182)</f>
        <v>25.599999999999994</v>
      </c>
      <c r="P180" s="286">
        <f>IF(Inputs!N185&gt;0,Inputs!N185,'Operational Model'!O182)</f>
        <v>26.299999999999994</v>
      </c>
      <c r="Q180" s="286">
        <f>IF(Inputs!O185&gt;0,Inputs!O185,'Operational Model'!P182)</f>
        <v>26.999999999999993</v>
      </c>
      <c r="R180" s="286">
        <f>IF(Inputs!P185&gt;0,Inputs!P185,'Operational Model'!Q182)</f>
        <v>27.699999999999992</v>
      </c>
      <c r="S180" s="286">
        <f>IF(Inputs!Q185&gt;0,Inputs!Q185,'Operational Model'!R182)</f>
        <v>28.399999999999991</v>
      </c>
      <c r="T180" s="286">
        <f>IF(Inputs!R185&gt;0,Inputs!R185,'Operational Model'!S182)</f>
        <v>28.79999999999999</v>
      </c>
      <c r="U180" s="286">
        <f>IF(Inputs!S185&gt;0,Inputs!S185,'Operational Model'!T182)</f>
        <v>29.199999999999989</v>
      </c>
      <c r="V180" s="286">
        <f>IF(Inputs!T185&gt;0,Inputs!T185,'Operational Model'!U182)</f>
        <v>29.599999999999987</v>
      </c>
      <c r="W180" s="286">
        <f>IF(Inputs!U185&gt;0,Inputs!U185,'Operational Model'!V182)</f>
        <v>29.999999999999986</v>
      </c>
      <c r="X180" s="286">
        <f>IF(Inputs!V185&gt;0,Inputs!V185,'Operational Model'!W182)</f>
        <v>30.399999999999984</v>
      </c>
      <c r="Y180" s="286">
        <f>IF(Inputs!W185&gt;0,Inputs!W185,'Operational Model'!X182)</f>
        <v>30.799999999999983</v>
      </c>
      <c r="Z180" s="286">
        <f>IF(Inputs!X185&gt;0,Inputs!X185,'Operational Model'!Y182)</f>
        <v>31.199999999999982</v>
      </c>
      <c r="AA180" s="286">
        <f>IF(Inputs!Y185&gt;0,Inputs!Y185,'Operational Model'!Z182)</f>
        <v>31.59999999999998</v>
      </c>
      <c r="AB180" s="286">
        <f>IF(Inputs!Z185&gt;0,Inputs!Z185,'Operational Model'!AA182)</f>
        <v>31.999999999999979</v>
      </c>
      <c r="AC180" s="286">
        <f>IF(Inputs!AA185&gt;0,Inputs!AA185,'Operational Model'!AB182)</f>
        <v>32.399999999999977</v>
      </c>
      <c r="AD180" s="286">
        <f>IF(Inputs!AB185&gt;0,Inputs!AB185,'Operational Model'!AC182)</f>
        <v>32.799999999999976</v>
      </c>
    </row>
    <row r="181" spans="2:30" hidden="1" outlineLevel="1" x14ac:dyDescent="0.3">
      <c r="B181" s="191" t="s">
        <v>81</v>
      </c>
      <c r="G181" s="286">
        <f>Inputs!F39</f>
        <v>0.7</v>
      </c>
      <c r="H181" s="286">
        <f>Inputs!G39</f>
        <v>0.7</v>
      </c>
      <c r="I181" s="286">
        <f>Inputs!H39</f>
        <v>0.7</v>
      </c>
      <c r="J181" s="286">
        <f>Inputs!I39</f>
        <v>0.7</v>
      </c>
      <c r="K181" s="286">
        <f>Inputs!J39</f>
        <v>0.7</v>
      </c>
      <c r="L181" s="286">
        <f>Inputs!K39</f>
        <v>0.7</v>
      </c>
      <c r="M181" s="286">
        <f>Inputs!L39</f>
        <v>0.7</v>
      </c>
      <c r="N181" s="286">
        <f>Inputs!M39</f>
        <v>0.7</v>
      </c>
      <c r="O181" s="286">
        <f>Inputs!N39</f>
        <v>0.7</v>
      </c>
      <c r="P181" s="286">
        <f>Inputs!O39</f>
        <v>0.7</v>
      </c>
      <c r="Q181" s="286">
        <f>Inputs!P39</f>
        <v>0.7</v>
      </c>
      <c r="R181" s="286">
        <f>Inputs!Q39</f>
        <v>0.7</v>
      </c>
      <c r="S181" s="286">
        <f>Inputs!R39</f>
        <v>0.4</v>
      </c>
      <c r="T181" s="286">
        <f>Inputs!S39</f>
        <v>0.4</v>
      </c>
      <c r="U181" s="286">
        <f>Inputs!T39</f>
        <v>0.4</v>
      </c>
      <c r="V181" s="286">
        <f>Inputs!U39</f>
        <v>0.4</v>
      </c>
      <c r="W181" s="286">
        <f>Inputs!V39</f>
        <v>0.4</v>
      </c>
      <c r="X181" s="286">
        <f>Inputs!W39</f>
        <v>0.4</v>
      </c>
      <c r="Y181" s="286">
        <f>Inputs!X39</f>
        <v>0.4</v>
      </c>
      <c r="Z181" s="286">
        <f>Inputs!Y39</f>
        <v>0.4</v>
      </c>
      <c r="AA181" s="286">
        <f>Inputs!Z39</f>
        <v>0.4</v>
      </c>
      <c r="AB181" s="286">
        <f>Inputs!AA39</f>
        <v>0.4</v>
      </c>
      <c r="AC181" s="286">
        <f>Inputs!AB39</f>
        <v>0.4</v>
      </c>
      <c r="AD181" s="286">
        <f>Inputs!AC39</f>
        <v>0.4</v>
      </c>
    </row>
    <row r="182" spans="2:30" hidden="1" outlineLevel="1" x14ac:dyDescent="0.3">
      <c r="B182" s="191" t="s">
        <v>82</v>
      </c>
      <c r="G182" s="305">
        <f>SUM(G180:G181)</f>
        <v>20.7</v>
      </c>
      <c r="H182" s="305">
        <f t="shared" ref="H182:AD182" si="74">SUM(H180:H181)</f>
        <v>21.4</v>
      </c>
      <c r="I182" s="305">
        <f t="shared" si="74"/>
        <v>22.099999999999998</v>
      </c>
      <c r="J182" s="305">
        <f t="shared" si="74"/>
        <v>22.799999999999997</v>
      </c>
      <c r="K182" s="305">
        <f t="shared" si="74"/>
        <v>23.499999999999996</v>
      </c>
      <c r="L182" s="305">
        <f t="shared" si="74"/>
        <v>24.199999999999996</v>
      </c>
      <c r="M182" s="305">
        <f t="shared" si="74"/>
        <v>24.899999999999995</v>
      </c>
      <c r="N182" s="305">
        <f t="shared" si="74"/>
        <v>25.599999999999994</v>
      </c>
      <c r="O182" s="305">
        <f t="shared" si="74"/>
        <v>26.299999999999994</v>
      </c>
      <c r="P182" s="305">
        <f t="shared" si="74"/>
        <v>26.999999999999993</v>
      </c>
      <c r="Q182" s="305">
        <f t="shared" si="74"/>
        <v>27.699999999999992</v>
      </c>
      <c r="R182" s="305">
        <f t="shared" si="74"/>
        <v>28.399999999999991</v>
      </c>
      <c r="S182" s="305">
        <f t="shared" si="74"/>
        <v>28.79999999999999</v>
      </c>
      <c r="T182" s="305">
        <f t="shared" si="74"/>
        <v>29.199999999999989</v>
      </c>
      <c r="U182" s="305">
        <f t="shared" si="74"/>
        <v>29.599999999999987</v>
      </c>
      <c r="V182" s="305">
        <f t="shared" si="74"/>
        <v>29.999999999999986</v>
      </c>
      <c r="W182" s="305">
        <f t="shared" si="74"/>
        <v>30.399999999999984</v>
      </c>
      <c r="X182" s="305">
        <f t="shared" si="74"/>
        <v>30.799999999999983</v>
      </c>
      <c r="Y182" s="305">
        <f t="shared" si="74"/>
        <v>31.199999999999982</v>
      </c>
      <c r="Z182" s="305">
        <f t="shared" si="74"/>
        <v>31.59999999999998</v>
      </c>
      <c r="AA182" s="305">
        <f t="shared" si="74"/>
        <v>31.999999999999979</v>
      </c>
      <c r="AB182" s="305">
        <f t="shared" si="74"/>
        <v>32.399999999999977</v>
      </c>
      <c r="AC182" s="305">
        <f t="shared" si="74"/>
        <v>32.799999999999976</v>
      </c>
      <c r="AD182" s="305">
        <f t="shared" si="74"/>
        <v>33.199999999999974</v>
      </c>
    </row>
    <row r="183" spans="2:30" hidden="1" outlineLevel="1" x14ac:dyDescent="0.3"/>
    <row r="184" spans="2:30" hidden="1" outlineLevel="1" x14ac:dyDescent="0.3">
      <c r="B184" s="173" t="s">
        <v>83</v>
      </c>
    </row>
    <row r="185" spans="2:30" hidden="1" outlineLevel="1" x14ac:dyDescent="0.3">
      <c r="B185" s="191" t="s">
        <v>80</v>
      </c>
      <c r="G185" s="286">
        <f>IF(Inputs!E186&gt;0,Inputs!E186,'Operational Model'!F187)</f>
        <v>8</v>
      </c>
      <c r="H185" s="286">
        <f>IF(Inputs!F186&gt;0,Inputs!F186,'Operational Model'!G187)</f>
        <v>8.3000000000000007</v>
      </c>
      <c r="I185" s="286">
        <f>IF(Inputs!G186&gt;0,Inputs!G186,'Operational Model'!H187)</f>
        <v>8.6000000000000014</v>
      </c>
      <c r="J185" s="286">
        <f>IF(Inputs!H186&gt;0,Inputs!H186,'Operational Model'!I187)</f>
        <v>8.9000000000000021</v>
      </c>
      <c r="K185" s="286">
        <f>IF(Inputs!I186&gt;0,Inputs!I186,'Operational Model'!J187)</f>
        <v>9.2000000000000028</v>
      </c>
      <c r="L185" s="286">
        <f>IF(Inputs!J186&gt;0,Inputs!J186,'Operational Model'!K187)</f>
        <v>9.5000000000000036</v>
      </c>
      <c r="M185" s="286">
        <f>IF(Inputs!K186&gt;0,Inputs!K186,'Operational Model'!L187)</f>
        <v>9.8000000000000043</v>
      </c>
      <c r="N185" s="286">
        <f>IF(Inputs!L186&gt;0,Inputs!L186,'Operational Model'!M187)</f>
        <v>10.100000000000005</v>
      </c>
      <c r="O185" s="286">
        <f>IF(Inputs!M186&gt;0,Inputs!M186,'Operational Model'!N187)</f>
        <v>10.400000000000006</v>
      </c>
      <c r="P185" s="286">
        <f>IF(Inputs!N186&gt;0,Inputs!N186,'Operational Model'!O187)</f>
        <v>10.700000000000006</v>
      </c>
      <c r="Q185" s="286">
        <f>IF(Inputs!O186&gt;0,Inputs!O186,'Operational Model'!P187)</f>
        <v>11.000000000000007</v>
      </c>
      <c r="R185" s="286">
        <f>IF(Inputs!P186&gt;0,Inputs!P186,'Operational Model'!Q187)</f>
        <v>11.300000000000008</v>
      </c>
      <c r="S185" s="286">
        <f>IF(Inputs!Q186&gt;0,Inputs!Q186,'Operational Model'!R187)</f>
        <v>11.600000000000009</v>
      </c>
      <c r="T185" s="286">
        <f>IF(Inputs!R186&gt;0,Inputs!R186,'Operational Model'!S187)</f>
        <v>11.700000000000008</v>
      </c>
      <c r="U185" s="286">
        <f>IF(Inputs!S186&gt;0,Inputs!S186,'Operational Model'!T187)</f>
        <v>11.800000000000008</v>
      </c>
      <c r="V185" s="286">
        <f>IF(Inputs!T186&gt;0,Inputs!T186,'Operational Model'!U187)</f>
        <v>11.900000000000007</v>
      </c>
      <c r="W185" s="286">
        <f>IF(Inputs!U186&gt;0,Inputs!U186,'Operational Model'!V187)</f>
        <v>12.000000000000007</v>
      </c>
      <c r="X185" s="286">
        <f>IF(Inputs!V186&gt;0,Inputs!V186,'Operational Model'!W187)</f>
        <v>12.100000000000007</v>
      </c>
      <c r="Y185" s="286">
        <f>IF(Inputs!W186&gt;0,Inputs!W186,'Operational Model'!X187)</f>
        <v>12.200000000000006</v>
      </c>
      <c r="Z185" s="286">
        <f>IF(Inputs!X186&gt;0,Inputs!X186,'Operational Model'!Y187)</f>
        <v>12.300000000000006</v>
      </c>
      <c r="AA185" s="286">
        <f>IF(Inputs!Y186&gt;0,Inputs!Y186,'Operational Model'!Z187)</f>
        <v>12.400000000000006</v>
      </c>
      <c r="AB185" s="286">
        <f>IF(Inputs!Z186&gt;0,Inputs!Z186,'Operational Model'!AA187)</f>
        <v>12.500000000000005</v>
      </c>
      <c r="AC185" s="286">
        <f>IF(Inputs!AA186&gt;0,Inputs!AA186,'Operational Model'!AB187)</f>
        <v>12.600000000000005</v>
      </c>
      <c r="AD185" s="286">
        <f>IF(Inputs!AB186&gt;0,Inputs!AB186,'Operational Model'!AC187)</f>
        <v>12.700000000000005</v>
      </c>
    </row>
    <row r="186" spans="2:30" hidden="1" outlineLevel="1" x14ac:dyDescent="0.3">
      <c r="B186" s="191" t="s">
        <v>81</v>
      </c>
      <c r="G186" s="286">
        <f>Inputs!F45</f>
        <v>0.3</v>
      </c>
      <c r="H186" s="286">
        <f>Inputs!G45</f>
        <v>0.3</v>
      </c>
      <c r="I186" s="286">
        <f>Inputs!H45</f>
        <v>0.3</v>
      </c>
      <c r="J186" s="286">
        <f>Inputs!I45</f>
        <v>0.3</v>
      </c>
      <c r="K186" s="286">
        <f>Inputs!J45</f>
        <v>0.3</v>
      </c>
      <c r="L186" s="286">
        <f>Inputs!K45</f>
        <v>0.3</v>
      </c>
      <c r="M186" s="286">
        <f>Inputs!L45</f>
        <v>0.3</v>
      </c>
      <c r="N186" s="286">
        <f>Inputs!M45</f>
        <v>0.3</v>
      </c>
      <c r="O186" s="286">
        <f>Inputs!N45</f>
        <v>0.3</v>
      </c>
      <c r="P186" s="286">
        <f>Inputs!O45</f>
        <v>0.3</v>
      </c>
      <c r="Q186" s="286">
        <f>Inputs!P45</f>
        <v>0.3</v>
      </c>
      <c r="R186" s="286">
        <f>Inputs!Q45</f>
        <v>0.3</v>
      </c>
      <c r="S186" s="286">
        <f>Inputs!R45</f>
        <v>0.1</v>
      </c>
      <c r="T186" s="286">
        <f>Inputs!S45</f>
        <v>0.1</v>
      </c>
      <c r="U186" s="286">
        <f>Inputs!T45</f>
        <v>0.1</v>
      </c>
      <c r="V186" s="286">
        <f>Inputs!U45</f>
        <v>0.1</v>
      </c>
      <c r="W186" s="286">
        <f>Inputs!V45</f>
        <v>0.1</v>
      </c>
      <c r="X186" s="286">
        <f>Inputs!W45</f>
        <v>0.1</v>
      </c>
      <c r="Y186" s="286">
        <f>Inputs!X45</f>
        <v>0.1</v>
      </c>
      <c r="Z186" s="286">
        <f>Inputs!Y45</f>
        <v>0.1</v>
      </c>
      <c r="AA186" s="286">
        <f>Inputs!Z45</f>
        <v>0.1</v>
      </c>
      <c r="AB186" s="286">
        <f>Inputs!AA45</f>
        <v>0.1</v>
      </c>
      <c r="AC186" s="286">
        <f>Inputs!AB45</f>
        <v>0.1</v>
      </c>
      <c r="AD186" s="286">
        <f>Inputs!AC45</f>
        <v>0.1</v>
      </c>
    </row>
    <row r="187" spans="2:30" hidden="1" outlineLevel="1" x14ac:dyDescent="0.3">
      <c r="B187" s="191" t="s">
        <v>82</v>
      </c>
      <c r="G187" s="305">
        <f>SUM(G185:G186)</f>
        <v>8.3000000000000007</v>
      </c>
      <c r="H187" s="305">
        <f t="shared" ref="H187:AD187" si="75">SUM(H185:H186)</f>
        <v>8.6000000000000014</v>
      </c>
      <c r="I187" s="305">
        <f t="shared" si="75"/>
        <v>8.9000000000000021</v>
      </c>
      <c r="J187" s="305">
        <f t="shared" si="75"/>
        <v>9.2000000000000028</v>
      </c>
      <c r="K187" s="305">
        <f t="shared" si="75"/>
        <v>9.5000000000000036</v>
      </c>
      <c r="L187" s="305">
        <f t="shared" si="75"/>
        <v>9.8000000000000043</v>
      </c>
      <c r="M187" s="305">
        <f t="shared" si="75"/>
        <v>10.100000000000005</v>
      </c>
      <c r="N187" s="305">
        <f t="shared" si="75"/>
        <v>10.400000000000006</v>
      </c>
      <c r="O187" s="305">
        <f t="shared" si="75"/>
        <v>10.700000000000006</v>
      </c>
      <c r="P187" s="305">
        <f t="shared" si="75"/>
        <v>11.000000000000007</v>
      </c>
      <c r="Q187" s="305">
        <f t="shared" si="75"/>
        <v>11.300000000000008</v>
      </c>
      <c r="R187" s="305">
        <f t="shared" si="75"/>
        <v>11.600000000000009</v>
      </c>
      <c r="S187" s="305">
        <f t="shared" si="75"/>
        <v>11.700000000000008</v>
      </c>
      <c r="T187" s="305">
        <f t="shared" si="75"/>
        <v>11.800000000000008</v>
      </c>
      <c r="U187" s="305">
        <f t="shared" si="75"/>
        <v>11.900000000000007</v>
      </c>
      <c r="V187" s="305">
        <f t="shared" si="75"/>
        <v>12.000000000000007</v>
      </c>
      <c r="W187" s="305">
        <f t="shared" si="75"/>
        <v>12.100000000000007</v>
      </c>
      <c r="X187" s="305">
        <f t="shared" si="75"/>
        <v>12.200000000000006</v>
      </c>
      <c r="Y187" s="305">
        <f t="shared" si="75"/>
        <v>12.300000000000006</v>
      </c>
      <c r="Z187" s="305">
        <f t="shared" si="75"/>
        <v>12.400000000000006</v>
      </c>
      <c r="AA187" s="305">
        <f t="shared" si="75"/>
        <v>12.500000000000005</v>
      </c>
      <c r="AB187" s="305">
        <f t="shared" si="75"/>
        <v>12.600000000000005</v>
      </c>
      <c r="AC187" s="305">
        <f t="shared" si="75"/>
        <v>12.700000000000005</v>
      </c>
      <c r="AD187" s="305">
        <f t="shared" si="75"/>
        <v>12.800000000000004</v>
      </c>
    </row>
    <row r="188" spans="2:30" hidden="1" outlineLevel="1" x14ac:dyDescent="0.3"/>
    <row r="189" spans="2:30" hidden="1" outlineLevel="1" x14ac:dyDescent="0.3">
      <c r="B189" s="173" t="s">
        <v>84</v>
      </c>
    </row>
    <row r="190" spans="2:30" hidden="1" outlineLevel="1" x14ac:dyDescent="0.3">
      <c r="B190" s="191" t="s">
        <v>80</v>
      </c>
      <c r="G190" s="286">
        <f>IF(Inputs!E187&gt;0,Inputs!E187,'Operational Model'!F192)</f>
        <v>15</v>
      </c>
      <c r="H190" s="286">
        <f>IF(Inputs!F187&gt;0,Inputs!F187,'Operational Model'!G192)</f>
        <v>15.5</v>
      </c>
      <c r="I190" s="286">
        <f>IF(Inputs!G187&gt;0,Inputs!G187,'Operational Model'!H192)</f>
        <v>16</v>
      </c>
      <c r="J190" s="286">
        <f>IF(Inputs!H187&gt;0,Inputs!H187,'Operational Model'!I192)</f>
        <v>16.5</v>
      </c>
      <c r="K190" s="286">
        <f>IF(Inputs!I187&gt;0,Inputs!I187,'Operational Model'!J192)</f>
        <v>17</v>
      </c>
      <c r="L190" s="286">
        <f>IF(Inputs!J187&gt;0,Inputs!J187,'Operational Model'!K192)</f>
        <v>17.5</v>
      </c>
      <c r="M190" s="286">
        <f>IF(Inputs!K187&gt;0,Inputs!K187,'Operational Model'!L192)</f>
        <v>18</v>
      </c>
      <c r="N190" s="286">
        <f>IF(Inputs!L187&gt;0,Inputs!L187,'Operational Model'!M192)</f>
        <v>18.5</v>
      </c>
      <c r="O190" s="286">
        <f>IF(Inputs!M187&gt;0,Inputs!M187,'Operational Model'!N192)</f>
        <v>19</v>
      </c>
      <c r="P190" s="286">
        <f>IF(Inputs!N187&gt;0,Inputs!N187,'Operational Model'!O192)</f>
        <v>19.5</v>
      </c>
      <c r="Q190" s="286">
        <f>IF(Inputs!O187&gt;0,Inputs!O187,'Operational Model'!P192)</f>
        <v>20</v>
      </c>
      <c r="R190" s="286">
        <f>IF(Inputs!P187&gt;0,Inputs!P187,'Operational Model'!Q192)</f>
        <v>20.5</v>
      </c>
      <c r="S190" s="286">
        <f>IF(Inputs!Q187&gt;0,Inputs!Q187,'Operational Model'!R192)</f>
        <v>21</v>
      </c>
      <c r="T190" s="286">
        <f>IF(Inputs!R187&gt;0,Inputs!R187,'Operational Model'!S192)</f>
        <v>21.25</v>
      </c>
      <c r="U190" s="286">
        <f>IF(Inputs!S187&gt;0,Inputs!S187,'Operational Model'!T192)</f>
        <v>21.55</v>
      </c>
      <c r="V190" s="286">
        <f>IF(Inputs!T187&gt;0,Inputs!T187,'Operational Model'!U192)</f>
        <v>21.85</v>
      </c>
      <c r="W190" s="286">
        <f>IF(Inputs!U187&gt;0,Inputs!U187,'Operational Model'!V192)</f>
        <v>22.150000000000002</v>
      </c>
      <c r="X190" s="286">
        <f>IF(Inputs!V187&gt;0,Inputs!V187,'Operational Model'!W192)</f>
        <v>22.450000000000003</v>
      </c>
      <c r="Y190" s="286">
        <f>IF(Inputs!W187&gt;0,Inputs!W187,'Operational Model'!X192)</f>
        <v>22.750000000000004</v>
      </c>
      <c r="Z190" s="286">
        <f>IF(Inputs!X187&gt;0,Inputs!X187,'Operational Model'!Y192)</f>
        <v>23.050000000000004</v>
      </c>
      <c r="AA190" s="286">
        <f>IF(Inputs!Y187&gt;0,Inputs!Y187,'Operational Model'!Z192)</f>
        <v>23.350000000000005</v>
      </c>
      <c r="AB190" s="286">
        <f>IF(Inputs!Z187&gt;0,Inputs!Z187,'Operational Model'!AA192)</f>
        <v>23.650000000000006</v>
      </c>
      <c r="AC190" s="286">
        <f>IF(Inputs!AA187&gt;0,Inputs!AA187,'Operational Model'!AB192)</f>
        <v>23.950000000000006</v>
      </c>
      <c r="AD190" s="286">
        <f>IF(Inputs!AB187&gt;0,Inputs!AB187,'Operational Model'!AC192)</f>
        <v>24.250000000000007</v>
      </c>
    </row>
    <row r="191" spans="2:30" hidden="1" outlineLevel="1" x14ac:dyDescent="0.3">
      <c r="B191" s="191" t="s">
        <v>81</v>
      </c>
      <c r="G191" s="286">
        <f>Inputs!F51</f>
        <v>0.5</v>
      </c>
      <c r="H191" s="286">
        <f>Inputs!G51</f>
        <v>0.5</v>
      </c>
      <c r="I191" s="286">
        <f>Inputs!H51</f>
        <v>0.5</v>
      </c>
      <c r="J191" s="286">
        <f>Inputs!I51</f>
        <v>0.5</v>
      </c>
      <c r="K191" s="286">
        <f>Inputs!J51</f>
        <v>0.5</v>
      </c>
      <c r="L191" s="286">
        <f>Inputs!K51</f>
        <v>0.5</v>
      </c>
      <c r="M191" s="286">
        <f>Inputs!L51</f>
        <v>0.5</v>
      </c>
      <c r="N191" s="286">
        <f>Inputs!M51</f>
        <v>0.5</v>
      </c>
      <c r="O191" s="286">
        <f>Inputs!N51</f>
        <v>0.5</v>
      </c>
      <c r="P191" s="286">
        <f>Inputs!O51</f>
        <v>0.5</v>
      </c>
      <c r="Q191" s="286">
        <f>Inputs!P51</f>
        <v>0.5</v>
      </c>
      <c r="R191" s="286">
        <f>Inputs!Q51</f>
        <v>0.5</v>
      </c>
      <c r="S191" s="286">
        <f>Inputs!R51</f>
        <v>0.25</v>
      </c>
      <c r="T191" s="286">
        <f>Inputs!S51</f>
        <v>0.3</v>
      </c>
      <c r="U191" s="286">
        <f>Inputs!T51</f>
        <v>0.3</v>
      </c>
      <c r="V191" s="286">
        <f>Inputs!U51</f>
        <v>0.3</v>
      </c>
      <c r="W191" s="286">
        <f>Inputs!V51</f>
        <v>0.3</v>
      </c>
      <c r="X191" s="286">
        <f>Inputs!W51</f>
        <v>0.3</v>
      </c>
      <c r="Y191" s="286">
        <f>Inputs!X51</f>
        <v>0.3</v>
      </c>
      <c r="Z191" s="286">
        <f>Inputs!Y51</f>
        <v>0.3</v>
      </c>
      <c r="AA191" s="286">
        <f>Inputs!Z51</f>
        <v>0.3</v>
      </c>
      <c r="AB191" s="286">
        <f>Inputs!AA51</f>
        <v>0.3</v>
      </c>
      <c r="AC191" s="286">
        <f>Inputs!AB51</f>
        <v>0.3</v>
      </c>
      <c r="AD191" s="286">
        <f>Inputs!AC51</f>
        <v>0.3</v>
      </c>
    </row>
    <row r="192" spans="2:30" hidden="1" outlineLevel="1" x14ac:dyDescent="0.3">
      <c r="B192" s="191" t="s">
        <v>82</v>
      </c>
      <c r="G192" s="305">
        <f>SUM(G190:G191)</f>
        <v>15.5</v>
      </c>
      <c r="H192" s="305">
        <f t="shared" ref="H192:AD192" si="76">SUM(H190:H191)</f>
        <v>16</v>
      </c>
      <c r="I192" s="305">
        <f t="shared" si="76"/>
        <v>16.5</v>
      </c>
      <c r="J192" s="305">
        <f t="shared" si="76"/>
        <v>17</v>
      </c>
      <c r="K192" s="305">
        <f t="shared" si="76"/>
        <v>17.5</v>
      </c>
      <c r="L192" s="305">
        <f t="shared" si="76"/>
        <v>18</v>
      </c>
      <c r="M192" s="305">
        <f t="shared" si="76"/>
        <v>18.5</v>
      </c>
      <c r="N192" s="305">
        <f t="shared" si="76"/>
        <v>19</v>
      </c>
      <c r="O192" s="305">
        <f t="shared" si="76"/>
        <v>19.5</v>
      </c>
      <c r="P192" s="305">
        <f t="shared" si="76"/>
        <v>20</v>
      </c>
      <c r="Q192" s="305">
        <f t="shared" si="76"/>
        <v>20.5</v>
      </c>
      <c r="R192" s="305">
        <f t="shared" si="76"/>
        <v>21</v>
      </c>
      <c r="S192" s="305">
        <f t="shared" si="76"/>
        <v>21.25</v>
      </c>
      <c r="T192" s="305">
        <f t="shared" si="76"/>
        <v>21.55</v>
      </c>
      <c r="U192" s="305">
        <f t="shared" si="76"/>
        <v>21.85</v>
      </c>
      <c r="V192" s="305">
        <f t="shared" si="76"/>
        <v>22.150000000000002</v>
      </c>
      <c r="W192" s="305">
        <f t="shared" si="76"/>
        <v>22.450000000000003</v>
      </c>
      <c r="X192" s="305">
        <f t="shared" si="76"/>
        <v>22.750000000000004</v>
      </c>
      <c r="Y192" s="305">
        <f t="shared" si="76"/>
        <v>23.050000000000004</v>
      </c>
      <c r="Z192" s="305">
        <f t="shared" si="76"/>
        <v>23.350000000000005</v>
      </c>
      <c r="AA192" s="305">
        <f t="shared" si="76"/>
        <v>23.650000000000006</v>
      </c>
      <c r="AB192" s="305">
        <f t="shared" si="76"/>
        <v>23.950000000000006</v>
      </c>
      <c r="AC192" s="305">
        <f t="shared" si="76"/>
        <v>24.250000000000007</v>
      </c>
      <c r="AD192" s="305">
        <f t="shared" si="76"/>
        <v>24.550000000000008</v>
      </c>
    </row>
    <row r="193" spans="2:30" hidden="1" outlineLevel="1" x14ac:dyDescent="0.3"/>
    <row r="194" spans="2:30" hidden="1" outlineLevel="1" x14ac:dyDescent="0.3">
      <c r="B194" s="173" t="s">
        <v>85</v>
      </c>
    </row>
    <row r="195" spans="2:30" hidden="1" outlineLevel="1" x14ac:dyDescent="0.3">
      <c r="B195" s="191" t="s">
        <v>80</v>
      </c>
      <c r="G195" s="286">
        <f>IF(Inputs!E188&gt;0,Inputs!E188,'Operational Model'!F197)</f>
        <v>35</v>
      </c>
      <c r="H195" s="286">
        <f>IF(Inputs!F188&gt;0,Inputs!F188,'Operational Model'!G197)</f>
        <v>36</v>
      </c>
      <c r="I195" s="286">
        <f>IF(Inputs!G188&gt;0,Inputs!G188,'Operational Model'!H197)</f>
        <v>37</v>
      </c>
      <c r="J195" s="286">
        <f>IF(Inputs!H188&gt;0,Inputs!H188,'Operational Model'!I197)</f>
        <v>38</v>
      </c>
      <c r="K195" s="286">
        <f>IF(Inputs!I188&gt;0,Inputs!I188,'Operational Model'!J197)</f>
        <v>39</v>
      </c>
      <c r="L195" s="286">
        <f>IF(Inputs!J188&gt;0,Inputs!J188,'Operational Model'!K197)</f>
        <v>40</v>
      </c>
      <c r="M195" s="286">
        <f>IF(Inputs!K188&gt;0,Inputs!K188,'Operational Model'!L197)</f>
        <v>41</v>
      </c>
      <c r="N195" s="286">
        <f>IF(Inputs!L188&gt;0,Inputs!L188,'Operational Model'!M197)</f>
        <v>42</v>
      </c>
      <c r="O195" s="286">
        <f>IF(Inputs!M188&gt;0,Inputs!M188,'Operational Model'!N197)</f>
        <v>43</v>
      </c>
      <c r="P195" s="286">
        <f>IF(Inputs!N188&gt;0,Inputs!N188,'Operational Model'!O197)</f>
        <v>44</v>
      </c>
      <c r="Q195" s="286">
        <f>IF(Inputs!O188&gt;0,Inputs!O188,'Operational Model'!P197)</f>
        <v>45</v>
      </c>
      <c r="R195" s="286">
        <f>IF(Inputs!P188&gt;0,Inputs!P188,'Operational Model'!Q197)</f>
        <v>46</v>
      </c>
      <c r="S195" s="286">
        <f>IF(Inputs!Q188&gt;0,Inputs!Q188,'Operational Model'!R197)</f>
        <v>47</v>
      </c>
      <c r="T195" s="286">
        <f>IF(Inputs!R188&gt;0,Inputs!R188,'Operational Model'!S197)</f>
        <v>47.5</v>
      </c>
      <c r="U195" s="286">
        <f>IF(Inputs!S188&gt;0,Inputs!S188,'Operational Model'!T197)</f>
        <v>48</v>
      </c>
      <c r="V195" s="286">
        <f>IF(Inputs!T188&gt;0,Inputs!T188,'Operational Model'!U197)</f>
        <v>48.5</v>
      </c>
      <c r="W195" s="286">
        <f>IF(Inputs!U188&gt;0,Inputs!U188,'Operational Model'!V197)</f>
        <v>49</v>
      </c>
      <c r="X195" s="286">
        <f>IF(Inputs!V188&gt;0,Inputs!V188,'Operational Model'!W197)</f>
        <v>49.5</v>
      </c>
      <c r="Y195" s="286">
        <f>IF(Inputs!W188&gt;0,Inputs!W188,'Operational Model'!X197)</f>
        <v>50</v>
      </c>
      <c r="Z195" s="286">
        <f>IF(Inputs!X188&gt;0,Inputs!X188,'Operational Model'!Y197)</f>
        <v>50.5</v>
      </c>
      <c r="AA195" s="286">
        <f>IF(Inputs!Y188&gt;0,Inputs!Y188,'Operational Model'!Z197)</f>
        <v>51</v>
      </c>
      <c r="AB195" s="286">
        <f>IF(Inputs!Z188&gt;0,Inputs!Z188,'Operational Model'!AA197)</f>
        <v>51.5</v>
      </c>
      <c r="AC195" s="286">
        <f>IF(Inputs!AA188&gt;0,Inputs!AA188,'Operational Model'!AB197)</f>
        <v>52</v>
      </c>
      <c r="AD195" s="286">
        <f>IF(Inputs!AB188&gt;0,Inputs!AB188,'Operational Model'!AC197)</f>
        <v>52.5</v>
      </c>
    </row>
    <row r="196" spans="2:30" hidden="1" outlineLevel="1" x14ac:dyDescent="0.3">
      <c r="B196" s="191" t="s">
        <v>81</v>
      </c>
      <c r="G196" s="286">
        <f>Inputs!F57</f>
        <v>1</v>
      </c>
      <c r="H196" s="286">
        <f>Inputs!G57</f>
        <v>1</v>
      </c>
      <c r="I196" s="286">
        <f>Inputs!H57</f>
        <v>1</v>
      </c>
      <c r="J196" s="286">
        <f>Inputs!I57</f>
        <v>1</v>
      </c>
      <c r="K196" s="286">
        <f>Inputs!J57</f>
        <v>1</v>
      </c>
      <c r="L196" s="286">
        <f>Inputs!K57</f>
        <v>1</v>
      </c>
      <c r="M196" s="286">
        <f>Inputs!L57</f>
        <v>1</v>
      </c>
      <c r="N196" s="286">
        <f>Inputs!M57</f>
        <v>1</v>
      </c>
      <c r="O196" s="286">
        <f>Inputs!N57</f>
        <v>1</v>
      </c>
      <c r="P196" s="286">
        <f>Inputs!O57</f>
        <v>1</v>
      </c>
      <c r="Q196" s="286">
        <f>Inputs!P57</f>
        <v>1</v>
      </c>
      <c r="R196" s="286">
        <f>Inputs!Q57</f>
        <v>1</v>
      </c>
      <c r="S196" s="286">
        <f>Inputs!R57</f>
        <v>0.5</v>
      </c>
      <c r="T196" s="286">
        <f>Inputs!S57</f>
        <v>0.5</v>
      </c>
      <c r="U196" s="286">
        <f>Inputs!T57</f>
        <v>0.5</v>
      </c>
      <c r="V196" s="286">
        <f>Inputs!U57</f>
        <v>0.5</v>
      </c>
      <c r="W196" s="286">
        <f>Inputs!V57</f>
        <v>0.5</v>
      </c>
      <c r="X196" s="286">
        <f>Inputs!W57</f>
        <v>0.5</v>
      </c>
      <c r="Y196" s="286">
        <f>Inputs!X57</f>
        <v>0.5</v>
      </c>
      <c r="Z196" s="286">
        <f>Inputs!Y57</f>
        <v>0.5</v>
      </c>
      <c r="AA196" s="286">
        <f>Inputs!Z57</f>
        <v>0.5</v>
      </c>
      <c r="AB196" s="286">
        <f>Inputs!AA57</f>
        <v>0.5</v>
      </c>
      <c r="AC196" s="286">
        <f>Inputs!AB57</f>
        <v>0.5</v>
      </c>
      <c r="AD196" s="286">
        <f>Inputs!AC57</f>
        <v>0.5</v>
      </c>
    </row>
    <row r="197" spans="2:30" hidden="1" outlineLevel="1" x14ac:dyDescent="0.3">
      <c r="B197" s="191" t="s">
        <v>82</v>
      </c>
      <c r="G197" s="305">
        <f>SUM(G195:G196)</f>
        <v>36</v>
      </c>
      <c r="H197" s="305">
        <f t="shared" ref="H197:AD197" si="77">SUM(H195:H196)</f>
        <v>37</v>
      </c>
      <c r="I197" s="305">
        <f t="shared" si="77"/>
        <v>38</v>
      </c>
      <c r="J197" s="305">
        <f t="shared" si="77"/>
        <v>39</v>
      </c>
      <c r="K197" s="305">
        <f t="shared" si="77"/>
        <v>40</v>
      </c>
      <c r="L197" s="305">
        <f t="shared" si="77"/>
        <v>41</v>
      </c>
      <c r="M197" s="305">
        <f t="shared" si="77"/>
        <v>42</v>
      </c>
      <c r="N197" s="305">
        <f t="shared" si="77"/>
        <v>43</v>
      </c>
      <c r="O197" s="305">
        <f t="shared" si="77"/>
        <v>44</v>
      </c>
      <c r="P197" s="305">
        <f t="shared" si="77"/>
        <v>45</v>
      </c>
      <c r="Q197" s="305">
        <f t="shared" si="77"/>
        <v>46</v>
      </c>
      <c r="R197" s="305">
        <f t="shared" si="77"/>
        <v>47</v>
      </c>
      <c r="S197" s="305">
        <f t="shared" si="77"/>
        <v>47.5</v>
      </c>
      <c r="T197" s="305">
        <f t="shared" si="77"/>
        <v>48</v>
      </c>
      <c r="U197" s="305">
        <f t="shared" si="77"/>
        <v>48.5</v>
      </c>
      <c r="V197" s="305">
        <f t="shared" si="77"/>
        <v>49</v>
      </c>
      <c r="W197" s="305">
        <f t="shared" si="77"/>
        <v>49.5</v>
      </c>
      <c r="X197" s="305">
        <f t="shared" si="77"/>
        <v>50</v>
      </c>
      <c r="Y197" s="305">
        <f t="shared" si="77"/>
        <v>50.5</v>
      </c>
      <c r="Z197" s="305">
        <f t="shared" si="77"/>
        <v>51</v>
      </c>
      <c r="AA197" s="305">
        <f t="shared" si="77"/>
        <v>51.5</v>
      </c>
      <c r="AB197" s="305">
        <f t="shared" si="77"/>
        <v>52</v>
      </c>
      <c r="AC197" s="305">
        <f t="shared" si="77"/>
        <v>52.5</v>
      </c>
      <c r="AD197" s="305">
        <f t="shared" si="77"/>
        <v>53</v>
      </c>
    </row>
    <row r="198" spans="2:30" hidden="1" outlineLevel="1" x14ac:dyDescent="0.3"/>
    <row r="199" spans="2:30" hidden="1" outlineLevel="1" x14ac:dyDescent="0.3">
      <c r="B199" s="173" t="s">
        <v>86</v>
      </c>
    </row>
    <row r="200" spans="2:30" hidden="1" outlineLevel="1" x14ac:dyDescent="0.3">
      <c r="B200" s="191" t="s">
        <v>80</v>
      </c>
      <c r="G200" s="286">
        <f>IF(Inputs!E189&gt;0,Inputs!E189,'Operational Model'!F202)</f>
        <v>17</v>
      </c>
      <c r="H200" s="286">
        <f>IF(Inputs!F189&gt;0,Inputs!F189,'Operational Model'!G202)</f>
        <v>17.3</v>
      </c>
      <c r="I200" s="286">
        <f>IF(Inputs!G189&gt;0,Inputs!G189,'Operational Model'!H202)</f>
        <v>17.600000000000001</v>
      </c>
      <c r="J200" s="286">
        <f>IF(Inputs!H189&gt;0,Inputs!H189,'Operational Model'!I202)</f>
        <v>17.900000000000002</v>
      </c>
      <c r="K200" s="286">
        <f>IF(Inputs!I189&gt;0,Inputs!I189,'Operational Model'!J202)</f>
        <v>18.200000000000003</v>
      </c>
      <c r="L200" s="286">
        <f>IF(Inputs!J189&gt;0,Inputs!J189,'Operational Model'!K202)</f>
        <v>18.500000000000004</v>
      </c>
      <c r="M200" s="286">
        <f>IF(Inputs!K189&gt;0,Inputs!K189,'Operational Model'!L202)</f>
        <v>18.800000000000004</v>
      </c>
      <c r="N200" s="286">
        <f>IF(Inputs!L189&gt;0,Inputs!L189,'Operational Model'!M202)</f>
        <v>19.100000000000005</v>
      </c>
      <c r="O200" s="286">
        <f>IF(Inputs!M189&gt;0,Inputs!M189,'Operational Model'!N202)</f>
        <v>19.400000000000006</v>
      </c>
      <c r="P200" s="286">
        <f>IF(Inputs!N189&gt;0,Inputs!N189,'Operational Model'!O202)</f>
        <v>19.700000000000006</v>
      </c>
      <c r="Q200" s="286">
        <f>IF(Inputs!O189&gt;0,Inputs!O189,'Operational Model'!P202)</f>
        <v>20.000000000000007</v>
      </c>
      <c r="R200" s="286">
        <f>IF(Inputs!P189&gt;0,Inputs!P189,'Operational Model'!Q202)</f>
        <v>20.300000000000008</v>
      </c>
      <c r="S200" s="286">
        <f>IF(Inputs!Q189&gt;0,Inputs!Q189,'Operational Model'!R202)</f>
        <v>20.600000000000009</v>
      </c>
      <c r="T200" s="286">
        <f>IF(Inputs!R189&gt;0,Inputs!R189,'Operational Model'!S202)</f>
        <v>20.70000000000001</v>
      </c>
      <c r="U200" s="286">
        <f>IF(Inputs!S189&gt;0,Inputs!S189,'Operational Model'!T202)</f>
        <v>20.800000000000011</v>
      </c>
      <c r="V200" s="286">
        <f>IF(Inputs!T189&gt;0,Inputs!T189,'Operational Model'!U202)</f>
        <v>20.900000000000013</v>
      </c>
      <c r="W200" s="286">
        <f>IF(Inputs!U189&gt;0,Inputs!U189,'Operational Model'!V202)</f>
        <v>21.000000000000014</v>
      </c>
      <c r="X200" s="286">
        <f>IF(Inputs!V189&gt;0,Inputs!V189,'Operational Model'!W202)</f>
        <v>21.100000000000016</v>
      </c>
      <c r="Y200" s="286">
        <f>IF(Inputs!W189&gt;0,Inputs!W189,'Operational Model'!X202)</f>
        <v>21.200000000000017</v>
      </c>
      <c r="Z200" s="286">
        <f>IF(Inputs!X189&gt;0,Inputs!X189,'Operational Model'!Y202)</f>
        <v>21.300000000000018</v>
      </c>
      <c r="AA200" s="286">
        <f>IF(Inputs!Y189&gt;0,Inputs!Y189,'Operational Model'!Z202)</f>
        <v>21.40000000000002</v>
      </c>
      <c r="AB200" s="286">
        <f>IF(Inputs!Z189&gt;0,Inputs!Z189,'Operational Model'!AA202)</f>
        <v>21.500000000000021</v>
      </c>
      <c r="AC200" s="286">
        <f>IF(Inputs!AA189&gt;0,Inputs!AA189,'Operational Model'!AB202)</f>
        <v>21.600000000000023</v>
      </c>
      <c r="AD200" s="286">
        <f>IF(Inputs!AB189&gt;0,Inputs!AB189,'Operational Model'!AC202)</f>
        <v>21.700000000000024</v>
      </c>
    </row>
    <row r="201" spans="2:30" hidden="1" outlineLevel="1" x14ac:dyDescent="0.3">
      <c r="B201" s="191" t="s">
        <v>81</v>
      </c>
      <c r="G201" s="286">
        <f>Inputs!F63</f>
        <v>0.3</v>
      </c>
      <c r="H201" s="286">
        <f>Inputs!G63</f>
        <v>0.3</v>
      </c>
      <c r="I201" s="286">
        <f>Inputs!H63</f>
        <v>0.3</v>
      </c>
      <c r="J201" s="286">
        <f>Inputs!I63</f>
        <v>0.3</v>
      </c>
      <c r="K201" s="286">
        <f>Inputs!J63</f>
        <v>0.3</v>
      </c>
      <c r="L201" s="286">
        <f>Inputs!K63</f>
        <v>0.3</v>
      </c>
      <c r="M201" s="286">
        <f>Inputs!L63</f>
        <v>0.3</v>
      </c>
      <c r="N201" s="286">
        <f>Inputs!M63</f>
        <v>0.3</v>
      </c>
      <c r="O201" s="286">
        <f>Inputs!N63</f>
        <v>0.3</v>
      </c>
      <c r="P201" s="286">
        <f>Inputs!O63</f>
        <v>0.3</v>
      </c>
      <c r="Q201" s="286">
        <f>Inputs!P63</f>
        <v>0.3</v>
      </c>
      <c r="R201" s="286">
        <f>Inputs!Q63</f>
        <v>0.3</v>
      </c>
      <c r="S201" s="286">
        <f>Inputs!R63</f>
        <v>0.1</v>
      </c>
      <c r="T201" s="286">
        <f>Inputs!S63</f>
        <v>0.1</v>
      </c>
      <c r="U201" s="286">
        <f>Inputs!T63</f>
        <v>0.1</v>
      </c>
      <c r="V201" s="286">
        <f>Inputs!U63</f>
        <v>0.1</v>
      </c>
      <c r="W201" s="286">
        <f>Inputs!V63</f>
        <v>0.1</v>
      </c>
      <c r="X201" s="286">
        <f>Inputs!W63</f>
        <v>0.1</v>
      </c>
      <c r="Y201" s="286">
        <f>Inputs!X63</f>
        <v>0.1</v>
      </c>
      <c r="Z201" s="286">
        <f>Inputs!Y63</f>
        <v>0.1</v>
      </c>
      <c r="AA201" s="286">
        <f>Inputs!Z63</f>
        <v>0.1</v>
      </c>
      <c r="AB201" s="286">
        <f>Inputs!AA63</f>
        <v>0.1</v>
      </c>
      <c r="AC201" s="286">
        <f>Inputs!AB63</f>
        <v>0.1</v>
      </c>
      <c r="AD201" s="286">
        <f>Inputs!AC63</f>
        <v>0.1</v>
      </c>
    </row>
    <row r="202" spans="2:30" hidden="1" outlineLevel="1" x14ac:dyDescent="0.3">
      <c r="B202" s="191" t="s">
        <v>82</v>
      </c>
      <c r="G202" s="305">
        <f>SUM(G200:G201)</f>
        <v>17.3</v>
      </c>
      <c r="H202" s="305">
        <f t="shared" ref="H202:AD202" si="78">SUM(H200:H201)</f>
        <v>17.600000000000001</v>
      </c>
      <c r="I202" s="305">
        <f t="shared" si="78"/>
        <v>17.900000000000002</v>
      </c>
      <c r="J202" s="305">
        <f t="shared" si="78"/>
        <v>18.200000000000003</v>
      </c>
      <c r="K202" s="305">
        <f t="shared" si="78"/>
        <v>18.500000000000004</v>
      </c>
      <c r="L202" s="305">
        <f t="shared" si="78"/>
        <v>18.800000000000004</v>
      </c>
      <c r="M202" s="305">
        <f t="shared" si="78"/>
        <v>19.100000000000005</v>
      </c>
      <c r="N202" s="305">
        <f t="shared" si="78"/>
        <v>19.400000000000006</v>
      </c>
      <c r="O202" s="305">
        <f t="shared" si="78"/>
        <v>19.700000000000006</v>
      </c>
      <c r="P202" s="305">
        <f t="shared" si="78"/>
        <v>20.000000000000007</v>
      </c>
      <c r="Q202" s="305">
        <f t="shared" si="78"/>
        <v>20.300000000000008</v>
      </c>
      <c r="R202" s="305">
        <f t="shared" si="78"/>
        <v>20.600000000000009</v>
      </c>
      <c r="S202" s="305">
        <f t="shared" si="78"/>
        <v>20.70000000000001</v>
      </c>
      <c r="T202" s="305">
        <f t="shared" si="78"/>
        <v>20.800000000000011</v>
      </c>
      <c r="U202" s="305">
        <f t="shared" si="78"/>
        <v>20.900000000000013</v>
      </c>
      <c r="V202" s="305">
        <f t="shared" si="78"/>
        <v>21.000000000000014</v>
      </c>
      <c r="W202" s="305">
        <f t="shared" si="78"/>
        <v>21.100000000000016</v>
      </c>
      <c r="X202" s="305">
        <f t="shared" si="78"/>
        <v>21.200000000000017</v>
      </c>
      <c r="Y202" s="305">
        <f t="shared" si="78"/>
        <v>21.300000000000018</v>
      </c>
      <c r="Z202" s="305">
        <f t="shared" si="78"/>
        <v>21.40000000000002</v>
      </c>
      <c r="AA202" s="305">
        <f t="shared" si="78"/>
        <v>21.500000000000021</v>
      </c>
      <c r="AB202" s="305">
        <f t="shared" si="78"/>
        <v>21.600000000000023</v>
      </c>
      <c r="AC202" s="305">
        <f t="shared" si="78"/>
        <v>21.700000000000024</v>
      </c>
      <c r="AD202" s="305">
        <f t="shared" si="78"/>
        <v>21.800000000000026</v>
      </c>
    </row>
    <row r="203" spans="2:30" hidden="1" outlineLevel="1" x14ac:dyDescent="0.3"/>
    <row r="204" spans="2:30" hidden="1" outlineLevel="1" x14ac:dyDescent="0.3">
      <c r="B204" s="173" t="s">
        <v>87</v>
      </c>
    </row>
    <row r="205" spans="2:30" hidden="1" outlineLevel="1" x14ac:dyDescent="0.3">
      <c r="B205" s="191" t="s">
        <v>80</v>
      </c>
      <c r="G205" s="306">
        <f>IF(Inputs!E184&gt;0,Inputs!E184,'Operational Model'!F207)</f>
        <v>95</v>
      </c>
      <c r="H205" s="305">
        <f>IF(Inputs!F184&gt;0,Inputs!F184,'Operational Model'!G207)</f>
        <v>97.8</v>
      </c>
      <c r="I205" s="305">
        <f>IF(Inputs!G184&gt;0,Inputs!G184,'Operational Model'!H207)</f>
        <v>100.6</v>
      </c>
      <c r="J205" s="305">
        <f>IF(Inputs!H184&gt;0,Inputs!H184,'Operational Model'!I207)</f>
        <v>103.39999999999999</v>
      </c>
      <c r="K205" s="305">
        <f>IF(Inputs!I184&gt;0,Inputs!I184,'Operational Model'!J207)</f>
        <v>106.19999999999999</v>
      </c>
      <c r="L205" s="305">
        <f>IF(Inputs!J184&gt;0,Inputs!J184,'Operational Model'!K207)</f>
        <v>108.99999999999999</v>
      </c>
      <c r="M205" s="305">
        <f>IF(Inputs!K184&gt;0,Inputs!K184,'Operational Model'!L207)</f>
        <v>111.79999999999998</v>
      </c>
      <c r="N205" s="305">
        <f>IF(Inputs!L184&gt;0,Inputs!L184,'Operational Model'!M207)</f>
        <v>114.59999999999998</v>
      </c>
      <c r="O205" s="305">
        <f>IF(Inputs!M184&gt;0,Inputs!M184,'Operational Model'!N207)</f>
        <v>117.39999999999998</v>
      </c>
      <c r="P205" s="305">
        <f>IF(Inputs!N184&gt;0,Inputs!N184,'Operational Model'!O207)</f>
        <v>120.19999999999997</v>
      </c>
      <c r="Q205" s="305">
        <f>IF(Inputs!O184&gt;0,Inputs!O184,'Operational Model'!P207)</f>
        <v>122.99999999999997</v>
      </c>
      <c r="R205" s="305">
        <f>IF(Inputs!P184&gt;0,Inputs!P184,'Operational Model'!Q207)</f>
        <v>125.79999999999997</v>
      </c>
      <c r="S205" s="305">
        <f>IF(Inputs!Q184&gt;0,Inputs!Q184,'Operational Model'!R207)</f>
        <v>128.59999999999997</v>
      </c>
      <c r="T205" s="305">
        <f>IF(Inputs!R184&gt;0,Inputs!R184,'Operational Model'!S207)</f>
        <v>129.94999999999996</v>
      </c>
      <c r="U205" s="305">
        <f>IF(Inputs!S184&gt;0,Inputs!S184,'Operational Model'!T207)</f>
        <v>131.34999999999997</v>
      </c>
      <c r="V205" s="305">
        <f>IF(Inputs!T184&gt;0,Inputs!T184,'Operational Model'!U207)</f>
        <v>132.74999999999997</v>
      </c>
      <c r="W205" s="305">
        <f>IF(Inputs!U184&gt;0,Inputs!U184,'Operational Model'!V207)</f>
        <v>134.14999999999998</v>
      </c>
      <c r="X205" s="305">
        <f>IF(Inputs!V184&gt;0,Inputs!V184,'Operational Model'!W207)</f>
        <v>135.54999999999998</v>
      </c>
      <c r="Y205" s="305">
        <f>IF(Inputs!W184&gt;0,Inputs!W184,'Operational Model'!X207)</f>
        <v>136.94999999999999</v>
      </c>
      <c r="Z205" s="305">
        <f>IF(Inputs!X184&gt;0,Inputs!X184,'Operational Model'!Y207)</f>
        <v>138.35</v>
      </c>
      <c r="AA205" s="305">
        <f>IF(Inputs!Y184&gt;0,Inputs!Y184,'Operational Model'!Z207)</f>
        <v>139.75</v>
      </c>
      <c r="AB205" s="305">
        <f>IF(Inputs!Z184&gt;0,Inputs!Z184,'Operational Model'!AA207)</f>
        <v>141.15</v>
      </c>
      <c r="AC205" s="305">
        <f>IF(Inputs!AA184&gt;0,Inputs!AA184,'Operational Model'!AB207)</f>
        <v>142.55000000000001</v>
      </c>
      <c r="AD205" s="307">
        <f>IF(Inputs!AB184&gt;0,Inputs!AB184,'Operational Model'!AC207)</f>
        <v>143.95000000000002</v>
      </c>
    </row>
    <row r="206" spans="2:30" hidden="1" outlineLevel="1" x14ac:dyDescent="0.3">
      <c r="B206" s="191" t="s">
        <v>81</v>
      </c>
      <c r="G206" s="308">
        <f>G201+G196+G191+G186+G181</f>
        <v>2.8</v>
      </c>
      <c r="H206" s="309">
        <f t="shared" ref="H206:AC206" si="79">H201+H196+H191+H186+H181</f>
        <v>2.8</v>
      </c>
      <c r="I206" s="309">
        <f t="shared" si="79"/>
        <v>2.8</v>
      </c>
      <c r="J206" s="309">
        <f t="shared" si="79"/>
        <v>2.8</v>
      </c>
      <c r="K206" s="309">
        <f t="shared" si="79"/>
        <v>2.8</v>
      </c>
      <c r="L206" s="309">
        <f t="shared" si="79"/>
        <v>2.8</v>
      </c>
      <c r="M206" s="309">
        <f t="shared" si="79"/>
        <v>2.8</v>
      </c>
      <c r="N206" s="309">
        <f t="shared" si="79"/>
        <v>2.8</v>
      </c>
      <c r="O206" s="309">
        <f t="shared" si="79"/>
        <v>2.8</v>
      </c>
      <c r="P206" s="309">
        <f t="shared" si="79"/>
        <v>2.8</v>
      </c>
      <c r="Q206" s="309">
        <f t="shared" si="79"/>
        <v>2.8</v>
      </c>
      <c r="R206" s="309">
        <f t="shared" si="79"/>
        <v>2.8</v>
      </c>
      <c r="S206" s="309">
        <f t="shared" si="79"/>
        <v>1.35</v>
      </c>
      <c r="T206" s="309">
        <f t="shared" si="79"/>
        <v>1.4</v>
      </c>
      <c r="U206" s="309">
        <f t="shared" si="79"/>
        <v>1.4</v>
      </c>
      <c r="V206" s="309">
        <f t="shared" si="79"/>
        <v>1.4</v>
      </c>
      <c r="W206" s="309">
        <f t="shared" si="79"/>
        <v>1.4</v>
      </c>
      <c r="X206" s="309">
        <f t="shared" si="79"/>
        <v>1.4</v>
      </c>
      <c r="Y206" s="309">
        <f t="shared" si="79"/>
        <v>1.4</v>
      </c>
      <c r="Z206" s="309">
        <f t="shared" si="79"/>
        <v>1.4</v>
      </c>
      <c r="AA206" s="309">
        <f t="shared" si="79"/>
        <v>1.4</v>
      </c>
      <c r="AB206" s="309">
        <f t="shared" si="79"/>
        <v>1.4</v>
      </c>
      <c r="AC206" s="309">
        <f t="shared" si="79"/>
        <v>1.4</v>
      </c>
      <c r="AD206" s="310">
        <f>AD201+AD196+AD191+AD186+AD181</f>
        <v>1.4</v>
      </c>
    </row>
    <row r="207" spans="2:30" hidden="1" outlineLevel="1" x14ac:dyDescent="0.3">
      <c r="B207" s="191" t="s">
        <v>82</v>
      </c>
      <c r="G207" s="311">
        <f>SUM(G205:G206)</f>
        <v>97.8</v>
      </c>
      <c r="H207" s="312">
        <f t="shared" ref="H207:AC207" si="80">SUM(H205:H206)</f>
        <v>100.6</v>
      </c>
      <c r="I207" s="312">
        <f t="shared" si="80"/>
        <v>103.39999999999999</v>
      </c>
      <c r="J207" s="312">
        <f t="shared" si="80"/>
        <v>106.19999999999999</v>
      </c>
      <c r="K207" s="312">
        <f t="shared" si="80"/>
        <v>108.99999999999999</v>
      </c>
      <c r="L207" s="312">
        <f t="shared" si="80"/>
        <v>111.79999999999998</v>
      </c>
      <c r="M207" s="312">
        <f t="shared" si="80"/>
        <v>114.59999999999998</v>
      </c>
      <c r="N207" s="312">
        <f t="shared" si="80"/>
        <v>117.39999999999998</v>
      </c>
      <c r="O207" s="312">
        <f t="shared" si="80"/>
        <v>120.19999999999997</v>
      </c>
      <c r="P207" s="312">
        <f t="shared" si="80"/>
        <v>122.99999999999997</v>
      </c>
      <c r="Q207" s="312">
        <f t="shared" si="80"/>
        <v>125.79999999999997</v>
      </c>
      <c r="R207" s="312">
        <f t="shared" si="80"/>
        <v>128.59999999999997</v>
      </c>
      <c r="S207" s="312">
        <f t="shared" si="80"/>
        <v>129.94999999999996</v>
      </c>
      <c r="T207" s="312">
        <f t="shared" si="80"/>
        <v>131.34999999999997</v>
      </c>
      <c r="U207" s="312">
        <f t="shared" si="80"/>
        <v>132.74999999999997</v>
      </c>
      <c r="V207" s="312">
        <f t="shared" si="80"/>
        <v>134.14999999999998</v>
      </c>
      <c r="W207" s="312">
        <f t="shared" si="80"/>
        <v>135.54999999999998</v>
      </c>
      <c r="X207" s="312">
        <f t="shared" si="80"/>
        <v>136.94999999999999</v>
      </c>
      <c r="Y207" s="312">
        <f t="shared" si="80"/>
        <v>138.35</v>
      </c>
      <c r="Z207" s="312">
        <f t="shared" si="80"/>
        <v>139.75</v>
      </c>
      <c r="AA207" s="312">
        <f t="shared" si="80"/>
        <v>141.15</v>
      </c>
      <c r="AB207" s="312">
        <f t="shared" si="80"/>
        <v>142.55000000000001</v>
      </c>
      <c r="AC207" s="312">
        <f t="shared" si="80"/>
        <v>143.95000000000002</v>
      </c>
      <c r="AD207" s="313">
        <f>SUM(AD205:AD206)</f>
        <v>145.35000000000002</v>
      </c>
    </row>
    <row r="208" spans="2:30" hidden="1" outlineLevel="1" x14ac:dyDescent="0.3"/>
    <row r="209" spans="2:30" hidden="1" outlineLevel="1" x14ac:dyDescent="0.3">
      <c r="B209" s="172" t="s">
        <v>91</v>
      </c>
    </row>
    <row r="210" spans="2:30" hidden="1" outlineLevel="1" x14ac:dyDescent="0.3">
      <c r="B210" s="238"/>
    </row>
    <row r="211" spans="2:30" hidden="1" outlineLevel="1" x14ac:dyDescent="0.3">
      <c r="B211" s="173" t="s">
        <v>79</v>
      </c>
    </row>
    <row r="212" spans="2:30" hidden="1" outlineLevel="1" x14ac:dyDescent="0.3">
      <c r="B212" s="191" t="s">
        <v>80</v>
      </c>
      <c r="G212" s="286">
        <f>G180</f>
        <v>20</v>
      </c>
      <c r="H212" s="286">
        <f t="shared" ref="H212:AD212" si="81">H180</f>
        <v>20.7</v>
      </c>
      <c r="I212" s="286">
        <f t="shared" si="81"/>
        <v>21.4</v>
      </c>
      <c r="J212" s="286">
        <f t="shared" si="81"/>
        <v>22.099999999999998</v>
      </c>
      <c r="K212" s="286">
        <f t="shared" si="81"/>
        <v>22.799999999999997</v>
      </c>
      <c r="L212" s="286">
        <f t="shared" si="81"/>
        <v>23.499999999999996</v>
      </c>
      <c r="M212" s="286">
        <f t="shared" si="81"/>
        <v>24.199999999999996</v>
      </c>
      <c r="N212" s="286">
        <f t="shared" si="81"/>
        <v>24.899999999999995</v>
      </c>
      <c r="O212" s="286">
        <f t="shared" si="81"/>
        <v>25.599999999999994</v>
      </c>
      <c r="P212" s="286">
        <f t="shared" si="81"/>
        <v>26.299999999999994</v>
      </c>
      <c r="Q212" s="286">
        <f t="shared" si="81"/>
        <v>26.999999999999993</v>
      </c>
      <c r="R212" s="286">
        <f t="shared" si="81"/>
        <v>27.699999999999992</v>
      </c>
      <c r="S212" s="286">
        <f t="shared" si="81"/>
        <v>28.399999999999991</v>
      </c>
      <c r="T212" s="286">
        <f t="shared" si="81"/>
        <v>28.79999999999999</v>
      </c>
      <c r="U212" s="286">
        <f t="shared" si="81"/>
        <v>29.199999999999989</v>
      </c>
      <c r="V212" s="286">
        <f t="shared" si="81"/>
        <v>29.599999999999987</v>
      </c>
      <c r="W212" s="286">
        <f t="shared" si="81"/>
        <v>29.999999999999986</v>
      </c>
      <c r="X212" s="286">
        <f t="shared" si="81"/>
        <v>30.399999999999984</v>
      </c>
      <c r="Y212" s="286">
        <f t="shared" si="81"/>
        <v>30.799999999999983</v>
      </c>
      <c r="Z212" s="286">
        <f t="shared" si="81"/>
        <v>31.199999999999982</v>
      </c>
      <c r="AA212" s="286">
        <f t="shared" si="81"/>
        <v>31.59999999999998</v>
      </c>
      <c r="AB212" s="286">
        <f t="shared" si="81"/>
        <v>31.999999999999979</v>
      </c>
      <c r="AC212" s="286">
        <f t="shared" si="81"/>
        <v>32.399999999999977</v>
      </c>
      <c r="AD212" s="286">
        <f t="shared" si="81"/>
        <v>32.799999999999976</v>
      </c>
    </row>
    <row r="213" spans="2:30" hidden="1" outlineLevel="1" x14ac:dyDescent="0.3">
      <c r="B213" s="191" t="s">
        <v>88</v>
      </c>
      <c r="G213" s="286">
        <f>AVERAGE(G180,G182)</f>
        <v>20.350000000000001</v>
      </c>
      <c r="H213" s="286">
        <f t="shared" ref="H213:AC213" si="82">AVERAGE(H180,H182)</f>
        <v>21.049999999999997</v>
      </c>
      <c r="I213" s="286">
        <f t="shared" si="82"/>
        <v>21.75</v>
      </c>
      <c r="J213" s="286">
        <f t="shared" si="82"/>
        <v>22.449999999999996</v>
      </c>
      <c r="K213" s="286">
        <f t="shared" si="82"/>
        <v>23.15</v>
      </c>
      <c r="L213" s="286">
        <f t="shared" si="82"/>
        <v>23.849999999999994</v>
      </c>
      <c r="M213" s="286">
        <f t="shared" si="82"/>
        <v>24.549999999999997</v>
      </c>
      <c r="N213" s="286">
        <f t="shared" si="82"/>
        <v>25.249999999999993</v>
      </c>
      <c r="O213" s="286">
        <f t="shared" si="82"/>
        <v>25.949999999999996</v>
      </c>
      <c r="P213" s="286">
        <f t="shared" si="82"/>
        <v>26.649999999999991</v>
      </c>
      <c r="Q213" s="286">
        <f t="shared" si="82"/>
        <v>27.349999999999994</v>
      </c>
      <c r="R213" s="286">
        <f t="shared" si="82"/>
        <v>28.04999999999999</v>
      </c>
      <c r="S213" s="286">
        <f t="shared" si="82"/>
        <v>28.599999999999991</v>
      </c>
      <c r="T213" s="286">
        <f t="shared" si="82"/>
        <v>28.999999999999989</v>
      </c>
      <c r="U213" s="286">
        <f t="shared" si="82"/>
        <v>29.399999999999988</v>
      </c>
      <c r="V213" s="286">
        <f t="shared" si="82"/>
        <v>29.799999999999986</v>
      </c>
      <c r="W213" s="286">
        <f t="shared" si="82"/>
        <v>30.199999999999985</v>
      </c>
      <c r="X213" s="286">
        <f t="shared" si="82"/>
        <v>30.599999999999984</v>
      </c>
      <c r="Y213" s="286">
        <f t="shared" si="82"/>
        <v>30.999999999999982</v>
      </c>
      <c r="Z213" s="286">
        <f t="shared" si="82"/>
        <v>31.399999999999981</v>
      </c>
      <c r="AA213" s="286">
        <f t="shared" si="82"/>
        <v>31.799999999999979</v>
      </c>
      <c r="AB213" s="286">
        <f t="shared" si="82"/>
        <v>32.199999999999974</v>
      </c>
      <c r="AC213" s="286">
        <f t="shared" si="82"/>
        <v>32.59999999999998</v>
      </c>
      <c r="AD213" s="286">
        <f>AVERAGE(AD180,AD182)</f>
        <v>32.999999999999972</v>
      </c>
    </row>
    <row r="214" spans="2:30" hidden="1" outlineLevel="1" x14ac:dyDescent="0.3">
      <c r="B214" s="191" t="s">
        <v>89</v>
      </c>
      <c r="G214" s="196">
        <f>Inputs!F71</f>
        <v>70</v>
      </c>
      <c r="H214" s="196">
        <f>Inputs!G71</f>
        <v>70</v>
      </c>
      <c r="I214" s="196">
        <f>Inputs!H71</f>
        <v>70</v>
      </c>
      <c r="J214" s="196">
        <f>Inputs!I71</f>
        <v>70</v>
      </c>
      <c r="K214" s="196">
        <f>Inputs!J71</f>
        <v>70</v>
      </c>
      <c r="L214" s="196">
        <f>Inputs!K71</f>
        <v>70</v>
      </c>
      <c r="M214" s="196">
        <f>Inputs!L71</f>
        <v>70</v>
      </c>
      <c r="N214" s="196">
        <f>Inputs!M71</f>
        <v>70</v>
      </c>
      <c r="O214" s="196">
        <f>Inputs!N71</f>
        <v>70</v>
      </c>
      <c r="P214" s="196">
        <f>Inputs!O71</f>
        <v>70</v>
      </c>
      <c r="Q214" s="196">
        <f>Inputs!P71</f>
        <v>70</v>
      </c>
      <c r="R214" s="196">
        <f>Inputs!Q71</f>
        <v>70</v>
      </c>
      <c r="S214" s="196">
        <f>Inputs!R71</f>
        <v>70</v>
      </c>
      <c r="T214" s="196">
        <f>Inputs!S71</f>
        <v>70</v>
      </c>
      <c r="U214" s="196">
        <f>Inputs!T71</f>
        <v>70</v>
      </c>
      <c r="V214" s="196">
        <f>Inputs!U71</f>
        <v>70</v>
      </c>
      <c r="W214" s="196">
        <f>Inputs!V71</f>
        <v>70</v>
      </c>
      <c r="X214" s="196">
        <f>Inputs!W71</f>
        <v>70</v>
      </c>
      <c r="Y214" s="196">
        <f>Inputs!X71</f>
        <v>70</v>
      </c>
      <c r="Z214" s="196">
        <f>Inputs!Y71</f>
        <v>70</v>
      </c>
      <c r="AA214" s="196">
        <f>Inputs!Z71</f>
        <v>70</v>
      </c>
      <c r="AB214" s="196">
        <f>Inputs!AA71</f>
        <v>70</v>
      </c>
      <c r="AC214" s="196">
        <f>Inputs!AB71</f>
        <v>70</v>
      </c>
      <c r="AD214" s="196">
        <f>Inputs!AC71</f>
        <v>70</v>
      </c>
    </row>
    <row r="215" spans="2:30" hidden="1" outlineLevel="1" x14ac:dyDescent="0.3">
      <c r="B215" s="191" t="s">
        <v>90</v>
      </c>
      <c r="G215" s="314">
        <f>Inputs!F$69</f>
        <v>0.22</v>
      </c>
      <c r="H215" s="314">
        <f>Inputs!G$69</f>
        <v>0.22</v>
      </c>
      <c r="I215" s="314">
        <f>Inputs!H$69</f>
        <v>0.22</v>
      </c>
      <c r="J215" s="314">
        <f>Inputs!I$69</f>
        <v>0.22</v>
      </c>
      <c r="K215" s="314">
        <f>Inputs!J$69</f>
        <v>0.22</v>
      </c>
      <c r="L215" s="314">
        <f>Inputs!K$69</f>
        <v>0.22</v>
      </c>
      <c r="M215" s="314">
        <f>Inputs!L$69</f>
        <v>0.22</v>
      </c>
      <c r="N215" s="314">
        <f>Inputs!M$69</f>
        <v>0.22</v>
      </c>
      <c r="O215" s="314">
        <f>Inputs!N$69</f>
        <v>0.22</v>
      </c>
      <c r="P215" s="314">
        <f>Inputs!O$69</f>
        <v>0.22</v>
      </c>
      <c r="Q215" s="314">
        <f>Inputs!P$69</f>
        <v>0.22</v>
      </c>
      <c r="R215" s="314">
        <f>Inputs!Q$69</f>
        <v>0.22</v>
      </c>
      <c r="S215" s="314">
        <f>Inputs!R$69</f>
        <v>0.22</v>
      </c>
      <c r="T215" s="314">
        <f>Inputs!S$69</f>
        <v>0.22</v>
      </c>
      <c r="U215" s="314">
        <f>Inputs!T$69</f>
        <v>0.22</v>
      </c>
      <c r="V215" s="314">
        <f>Inputs!U$69</f>
        <v>0.22</v>
      </c>
      <c r="W215" s="314">
        <f>Inputs!V$69</f>
        <v>0.22</v>
      </c>
      <c r="X215" s="314">
        <f>Inputs!W$69</f>
        <v>0.22</v>
      </c>
      <c r="Y215" s="314">
        <f>Inputs!X$69</f>
        <v>0.22</v>
      </c>
      <c r="Z215" s="314">
        <f>Inputs!Y$69</f>
        <v>0.22</v>
      </c>
      <c r="AA215" s="314">
        <f>Inputs!Z$69</f>
        <v>0.22</v>
      </c>
      <c r="AB215" s="314">
        <f>Inputs!AA$69</f>
        <v>0.22</v>
      </c>
      <c r="AC215" s="314">
        <f>Inputs!AB$69</f>
        <v>0.22</v>
      </c>
      <c r="AD215" s="314">
        <f>Inputs!AC$69</f>
        <v>0.22</v>
      </c>
    </row>
    <row r="216" spans="2:30" hidden="1" outlineLevel="1" x14ac:dyDescent="0.3">
      <c r="B216" s="191" t="s">
        <v>92</v>
      </c>
      <c r="G216" s="196">
        <f>G213*(G214/Inputs!$E$207)*(1+G215)</f>
        <v>144.82416666666666</v>
      </c>
      <c r="H216" s="196">
        <f>H213*(H214/Inputs!$E$207)*(1+H215)</f>
        <v>149.80583333333331</v>
      </c>
      <c r="I216" s="196">
        <f>I213*(I214/Inputs!$E$207)*(1+I215)</f>
        <v>154.78749999999999</v>
      </c>
      <c r="J216" s="196">
        <f>J213*(J214/Inputs!$E$207)*(1+J215)</f>
        <v>159.76916666666665</v>
      </c>
      <c r="K216" s="196">
        <f>K213*(K214/Inputs!$E$207)*(1+K215)</f>
        <v>164.7508333333333</v>
      </c>
      <c r="L216" s="196">
        <f>L213*(L214/Inputs!$E$207)*(1+L215)</f>
        <v>169.73249999999996</v>
      </c>
      <c r="M216" s="196">
        <f>M213*(M214/Inputs!$E$207)*(1+M215)</f>
        <v>174.71416666666664</v>
      </c>
      <c r="N216" s="196">
        <f>N213*(N214/Inputs!$E$207)*(1+N215)</f>
        <v>179.6958333333333</v>
      </c>
      <c r="O216" s="196">
        <f>O213*(O214/Inputs!$E$207)*(1+O215)</f>
        <v>184.67749999999995</v>
      </c>
      <c r="P216" s="196">
        <f>P213*(P214/Inputs!$E$207)*(1+P215)</f>
        <v>189.65916666666661</v>
      </c>
      <c r="Q216" s="196">
        <f>Q213*(Q214/Inputs!$E$207)*(1+Q215)</f>
        <v>194.64083333333329</v>
      </c>
      <c r="R216" s="196">
        <f>R213*(R214/Inputs!$E$207)*(1+R215)</f>
        <v>199.62249999999992</v>
      </c>
      <c r="S216" s="196">
        <f>S213*(S214/Inputs!$E$207)*(1+S215)</f>
        <v>203.53666666666658</v>
      </c>
      <c r="T216" s="196">
        <f>T213*(T214/Inputs!$E$207)*(1+T215)</f>
        <v>206.38333333333324</v>
      </c>
      <c r="U216" s="196">
        <f>U213*(U214/Inputs!$E$207)*(1+U215)</f>
        <v>209.2299999999999</v>
      </c>
      <c r="V216" s="196">
        <f>V213*(V214/Inputs!$E$207)*(1+V215)</f>
        <v>212.07666666666657</v>
      </c>
      <c r="W216" s="196">
        <f>W213*(W214/Inputs!$E$207)*(1+W215)</f>
        <v>214.9233333333332</v>
      </c>
      <c r="X216" s="196">
        <f>X213*(X214/Inputs!$E$207)*(1+X215)</f>
        <v>217.76999999999987</v>
      </c>
      <c r="Y216" s="196">
        <f>Y213*(Y214/Inputs!$E$207)*(1+Y215)</f>
        <v>220.61666666666653</v>
      </c>
      <c r="Z216" s="196">
        <f>Z213*(Z214/Inputs!$E$207)*(1+Z215)</f>
        <v>223.46333333333317</v>
      </c>
      <c r="AA216" s="196">
        <f>AA213*(AA214/Inputs!$E$207)*(1+AA215)</f>
        <v>226.30999999999983</v>
      </c>
      <c r="AB216" s="196">
        <f>AB213*(AB214/Inputs!$E$207)*(1+AB215)</f>
        <v>229.15666666666647</v>
      </c>
      <c r="AC216" s="196">
        <f>AC213*(AC214/Inputs!$E$207)*(1+AC215)</f>
        <v>232.00333333333319</v>
      </c>
      <c r="AD216" s="196">
        <f>AD213*(AD214/Inputs!$E$207)*(1+AD215)</f>
        <v>234.8499999999998</v>
      </c>
    </row>
    <row r="217" spans="2:30" hidden="1" outlineLevel="1" x14ac:dyDescent="0.3"/>
    <row r="218" spans="2:30" hidden="1" outlineLevel="1" x14ac:dyDescent="0.3">
      <c r="B218" s="173" t="s">
        <v>83</v>
      </c>
    </row>
    <row r="219" spans="2:30" hidden="1" outlineLevel="1" x14ac:dyDescent="0.3">
      <c r="B219" s="191" t="s">
        <v>80</v>
      </c>
      <c r="G219" s="286">
        <f>G185</f>
        <v>8</v>
      </c>
      <c r="H219" s="286">
        <f t="shared" ref="H219:AD219" si="83">H185</f>
        <v>8.3000000000000007</v>
      </c>
      <c r="I219" s="286">
        <f t="shared" si="83"/>
        <v>8.6000000000000014</v>
      </c>
      <c r="J219" s="286">
        <f t="shared" si="83"/>
        <v>8.9000000000000021</v>
      </c>
      <c r="K219" s="286">
        <f t="shared" si="83"/>
        <v>9.2000000000000028</v>
      </c>
      <c r="L219" s="286">
        <f t="shared" si="83"/>
        <v>9.5000000000000036</v>
      </c>
      <c r="M219" s="286">
        <f t="shared" si="83"/>
        <v>9.8000000000000043</v>
      </c>
      <c r="N219" s="286">
        <f t="shared" si="83"/>
        <v>10.100000000000005</v>
      </c>
      <c r="O219" s="286">
        <f t="shared" si="83"/>
        <v>10.400000000000006</v>
      </c>
      <c r="P219" s="286">
        <f t="shared" si="83"/>
        <v>10.700000000000006</v>
      </c>
      <c r="Q219" s="286">
        <f t="shared" si="83"/>
        <v>11.000000000000007</v>
      </c>
      <c r="R219" s="286">
        <f t="shared" si="83"/>
        <v>11.300000000000008</v>
      </c>
      <c r="S219" s="286">
        <f t="shared" si="83"/>
        <v>11.600000000000009</v>
      </c>
      <c r="T219" s="286">
        <f t="shared" si="83"/>
        <v>11.700000000000008</v>
      </c>
      <c r="U219" s="286">
        <f t="shared" si="83"/>
        <v>11.800000000000008</v>
      </c>
      <c r="V219" s="286">
        <f t="shared" si="83"/>
        <v>11.900000000000007</v>
      </c>
      <c r="W219" s="286">
        <f t="shared" si="83"/>
        <v>12.000000000000007</v>
      </c>
      <c r="X219" s="286">
        <f t="shared" si="83"/>
        <v>12.100000000000007</v>
      </c>
      <c r="Y219" s="286">
        <f t="shared" si="83"/>
        <v>12.200000000000006</v>
      </c>
      <c r="Z219" s="286">
        <f t="shared" si="83"/>
        <v>12.300000000000006</v>
      </c>
      <c r="AA219" s="286">
        <f t="shared" si="83"/>
        <v>12.400000000000006</v>
      </c>
      <c r="AB219" s="286">
        <f t="shared" si="83"/>
        <v>12.500000000000005</v>
      </c>
      <c r="AC219" s="286">
        <f t="shared" si="83"/>
        <v>12.600000000000005</v>
      </c>
      <c r="AD219" s="286">
        <f t="shared" si="83"/>
        <v>12.700000000000005</v>
      </c>
    </row>
    <row r="220" spans="2:30" hidden="1" outlineLevel="1" x14ac:dyDescent="0.3">
      <c r="B220" s="191" t="s">
        <v>88</v>
      </c>
      <c r="G220" s="286">
        <f>AVERAGE(G185,G187)</f>
        <v>8.15</v>
      </c>
      <c r="H220" s="286">
        <f t="shared" ref="H220:AD220" si="84">AVERAGE(H185,H187)</f>
        <v>8.4500000000000011</v>
      </c>
      <c r="I220" s="286">
        <f t="shared" si="84"/>
        <v>8.7500000000000018</v>
      </c>
      <c r="J220" s="286">
        <f t="shared" si="84"/>
        <v>9.0500000000000025</v>
      </c>
      <c r="K220" s="286">
        <f t="shared" si="84"/>
        <v>9.3500000000000032</v>
      </c>
      <c r="L220" s="286">
        <f t="shared" si="84"/>
        <v>9.6500000000000039</v>
      </c>
      <c r="M220" s="286">
        <f t="shared" si="84"/>
        <v>9.9500000000000046</v>
      </c>
      <c r="N220" s="286">
        <f t="shared" si="84"/>
        <v>10.250000000000005</v>
      </c>
      <c r="O220" s="286">
        <f t="shared" si="84"/>
        <v>10.550000000000006</v>
      </c>
      <c r="P220" s="286">
        <f t="shared" si="84"/>
        <v>10.850000000000007</v>
      </c>
      <c r="Q220" s="286">
        <f t="shared" si="84"/>
        <v>11.150000000000007</v>
      </c>
      <c r="R220" s="286">
        <f t="shared" si="84"/>
        <v>11.450000000000008</v>
      </c>
      <c r="S220" s="286">
        <f t="shared" si="84"/>
        <v>11.650000000000009</v>
      </c>
      <c r="T220" s="286">
        <f t="shared" si="84"/>
        <v>11.750000000000007</v>
      </c>
      <c r="U220" s="286">
        <f t="shared" si="84"/>
        <v>11.850000000000009</v>
      </c>
      <c r="V220" s="286">
        <f t="shared" si="84"/>
        <v>11.950000000000006</v>
      </c>
      <c r="W220" s="286">
        <f t="shared" si="84"/>
        <v>12.050000000000008</v>
      </c>
      <c r="X220" s="286">
        <f t="shared" si="84"/>
        <v>12.150000000000006</v>
      </c>
      <c r="Y220" s="286">
        <f t="shared" si="84"/>
        <v>12.250000000000007</v>
      </c>
      <c r="Z220" s="286">
        <f t="shared" si="84"/>
        <v>12.350000000000005</v>
      </c>
      <c r="AA220" s="286">
        <f t="shared" si="84"/>
        <v>12.450000000000006</v>
      </c>
      <c r="AB220" s="286">
        <f t="shared" si="84"/>
        <v>12.550000000000004</v>
      </c>
      <c r="AC220" s="286">
        <f t="shared" si="84"/>
        <v>12.650000000000006</v>
      </c>
      <c r="AD220" s="286">
        <f t="shared" si="84"/>
        <v>12.750000000000004</v>
      </c>
    </row>
    <row r="221" spans="2:30" hidden="1" outlineLevel="1" x14ac:dyDescent="0.3">
      <c r="B221" s="191" t="s">
        <v>89</v>
      </c>
      <c r="G221" s="196">
        <f>Inputs!F73</f>
        <v>45</v>
      </c>
      <c r="H221" s="196">
        <f>Inputs!G73</f>
        <v>45</v>
      </c>
      <c r="I221" s="196">
        <f>Inputs!H73</f>
        <v>45</v>
      </c>
      <c r="J221" s="196">
        <f>Inputs!I73</f>
        <v>45</v>
      </c>
      <c r="K221" s="196">
        <f>Inputs!J73</f>
        <v>45</v>
      </c>
      <c r="L221" s="196">
        <f>Inputs!K73</f>
        <v>45</v>
      </c>
      <c r="M221" s="196">
        <f>Inputs!L73</f>
        <v>45</v>
      </c>
      <c r="N221" s="196">
        <f>Inputs!M73</f>
        <v>45</v>
      </c>
      <c r="O221" s="196">
        <f>Inputs!N73</f>
        <v>45</v>
      </c>
      <c r="P221" s="196">
        <f>Inputs!O73</f>
        <v>45</v>
      </c>
      <c r="Q221" s="196">
        <f>Inputs!P73</f>
        <v>45</v>
      </c>
      <c r="R221" s="196">
        <f>Inputs!Q73</f>
        <v>45</v>
      </c>
      <c r="S221" s="196">
        <f>Inputs!R73</f>
        <v>45</v>
      </c>
      <c r="T221" s="196">
        <f>Inputs!S73</f>
        <v>45</v>
      </c>
      <c r="U221" s="196">
        <f>Inputs!T73</f>
        <v>45</v>
      </c>
      <c r="V221" s="196">
        <f>Inputs!U73</f>
        <v>45</v>
      </c>
      <c r="W221" s="196">
        <f>Inputs!V73</f>
        <v>45</v>
      </c>
      <c r="X221" s="196">
        <f>Inputs!W73</f>
        <v>45</v>
      </c>
      <c r="Y221" s="196">
        <f>Inputs!X73</f>
        <v>45</v>
      </c>
      <c r="Z221" s="196">
        <f>Inputs!Y73</f>
        <v>45</v>
      </c>
      <c r="AA221" s="196">
        <f>Inputs!Z73</f>
        <v>45</v>
      </c>
      <c r="AB221" s="196">
        <f>Inputs!AA73</f>
        <v>45</v>
      </c>
      <c r="AC221" s="196">
        <f>Inputs!AB73</f>
        <v>45</v>
      </c>
      <c r="AD221" s="196">
        <f>Inputs!AC73</f>
        <v>45</v>
      </c>
    </row>
    <row r="222" spans="2:30" hidden="1" outlineLevel="1" x14ac:dyDescent="0.3">
      <c r="B222" s="191" t="s">
        <v>90</v>
      </c>
      <c r="G222" s="314">
        <f>Inputs!F$69</f>
        <v>0.22</v>
      </c>
      <c r="H222" s="314">
        <f>Inputs!G$69</f>
        <v>0.22</v>
      </c>
      <c r="I222" s="314">
        <f>Inputs!H$69</f>
        <v>0.22</v>
      </c>
      <c r="J222" s="314">
        <f>Inputs!I$69</f>
        <v>0.22</v>
      </c>
      <c r="K222" s="314">
        <f>Inputs!J$69</f>
        <v>0.22</v>
      </c>
      <c r="L222" s="314">
        <f>Inputs!K$69</f>
        <v>0.22</v>
      </c>
      <c r="M222" s="314">
        <f>Inputs!L$69</f>
        <v>0.22</v>
      </c>
      <c r="N222" s="314">
        <f>Inputs!M$69</f>
        <v>0.22</v>
      </c>
      <c r="O222" s="314">
        <f>Inputs!N$69</f>
        <v>0.22</v>
      </c>
      <c r="P222" s="314">
        <f>Inputs!O$69</f>
        <v>0.22</v>
      </c>
      <c r="Q222" s="314">
        <f>Inputs!P$69</f>
        <v>0.22</v>
      </c>
      <c r="R222" s="314">
        <f>Inputs!Q$69</f>
        <v>0.22</v>
      </c>
      <c r="S222" s="314">
        <f>Inputs!R$69</f>
        <v>0.22</v>
      </c>
      <c r="T222" s="314">
        <f>Inputs!S$69</f>
        <v>0.22</v>
      </c>
      <c r="U222" s="314">
        <f>Inputs!T$69</f>
        <v>0.22</v>
      </c>
      <c r="V222" s="314">
        <f>Inputs!U$69</f>
        <v>0.22</v>
      </c>
      <c r="W222" s="314">
        <f>Inputs!V$69</f>
        <v>0.22</v>
      </c>
      <c r="X222" s="314">
        <f>Inputs!W$69</f>
        <v>0.22</v>
      </c>
      <c r="Y222" s="314">
        <f>Inputs!X$69</f>
        <v>0.22</v>
      </c>
      <c r="Z222" s="314">
        <f>Inputs!Y$69</f>
        <v>0.22</v>
      </c>
      <c r="AA222" s="314">
        <f>Inputs!Z$69</f>
        <v>0.22</v>
      </c>
      <c r="AB222" s="314">
        <f>Inputs!AA$69</f>
        <v>0.22</v>
      </c>
      <c r="AC222" s="314">
        <f>Inputs!AB$69</f>
        <v>0.22</v>
      </c>
      <c r="AD222" s="314">
        <f>Inputs!AC$69</f>
        <v>0.22</v>
      </c>
    </row>
    <row r="223" spans="2:30" hidden="1" outlineLevel="1" x14ac:dyDescent="0.3">
      <c r="B223" s="191" t="s">
        <v>92</v>
      </c>
      <c r="G223" s="196">
        <f>G220*(G221/Inputs!$E$207)*(1+G222)</f>
        <v>37.286250000000003</v>
      </c>
      <c r="H223" s="196">
        <f>H220*(H221/Inputs!$E$207)*(1+H222)</f>
        <v>38.658750000000005</v>
      </c>
      <c r="I223" s="196">
        <f>I220*(I221/Inputs!$E$207)*(1+I222)</f>
        <v>40.031250000000007</v>
      </c>
      <c r="J223" s="196">
        <f>J220*(J221/Inputs!$E$207)*(1+J222)</f>
        <v>41.403750000000009</v>
      </c>
      <c r="K223" s="196">
        <f>K220*(K221/Inputs!$E$207)*(1+K222)</f>
        <v>42.776250000000019</v>
      </c>
      <c r="L223" s="196">
        <f>L220*(L221/Inputs!$E$207)*(1+L222)</f>
        <v>44.148750000000014</v>
      </c>
      <c r="M223" s="196">
        <f>M220*(M221/Inputs!$E$207)*(1+M222)</f>
        <v>45.521250000000016</v>
      </c>
      <c r="N223" s="196">
        <f>N220*(N221/Inputs!$E$207)*(1+N222)</f>
        <v>46.893750000000026</v>
      </c>
      <c r="O223" s="196">
        <f>O220*(O221/Inputs!$E$207)*(1+O222)</f>
        <v>48.266250000000028</v>
      </c>
      <c r="P223" s="196">
        <f>P220*(P221/Inputs!$E$207)*(1+P222)</f>
        <v>49.63875000000003</v>
      </c>
      <c r="Q223" s="196">
        <f>Q220*(Q221/Inputs!$E$207)*(1+Q222)</f>
        <v>51.011250000000032</v>
      </c>
      <c r="R223" s="196">
        <f>R220*(R221/Inputs!$E$207)*(1+R222)</f>
        <v>52.383750000000035</v>
      </c>
      <c r="S223" s="196">
        <f>S220*(S221/Inputs!$E$207)*(1+S222)</f>
        <v>53.298750000000041</v>
      </c>
      <c r="T223" s="196">
        <f>T220*(T221/Inputs!$E$207)*(1+T222)</f>
        <v>53.756250000000037</v>
      </c>
      <c r="U223" s="196">
        <f>U220*(U221/Inputs!$E$207)*(1+U222)</f>
        <v>54.213750000000033</v>
      </c>
      <c r="V223" s="196">
        <f>V220*(V221/Inputs!$E$207)*(1+V222)</f>
        <v>54.671250000000022</v>
      </c>
      <c r="W223" s="196">
        <f>W220*(W221/Inputs!$E$207)*(1+W222)</f>
        <v>55.128750000000032</v>
      </c>
      <c r="X223" s="196">
        <f>X220*(X221/Inputs!$E$207)*(1+X222)</f>
        <v>55.586250000000028</v>
      </c>
      <c r="Y223" s="196">
        <f>Y220*(Y221/Inputs!$E$207)*(1+Y222)</f>
        <v>56.043750000000031</v>
      </c>
      <c r="Z223" s="196">
        <f>Z220*(Z221/Inputs!$E$207)*(1+Z222)</f>
        <v>56.501250000000027</v>
      </c>
      <c r="AA223" s="196">
        <f>AA220*(AA221/Inputs!$E$207)*(1+AA222)</f>
        <v>56.958750000000023</v>
      </c>
      <c r="AB223" s="196">
        <f>AB220*(AB221/Inputs!$E$207)*(1+AB222)</f>
        <v>57.416250000000019</v>
      </c>
      <c r="AC223" s="196">
        <f>AC220*(AC221/Inputs!$E$207)*(1+AC222)</f>
        <v>57.873750000000022</v>
      </c>
      <c r="AD223" s="196">
        <f>AD220*(AD221/Inputs!$E$207)*(1+AD222)</f>
        <v>58.331250000000018</v>
      </c>
    </row>
    <row r="224" spans="2:30" hidden="1" outlineLevel="1" x14ac:dyDescent="0.3">
      <c r="B224" s="191"/>
    </row>
    <row r="225" spans="2:30" hidden="1" outlineLevel="1" x14ac:dyDescent="0.3">
      <c r="B225" s="173" t="s">
        <v>84</v>
      </c>
    </row>
    <row r="226" spans="2:30" hidden="1" outlineLevel="1" x14ac:dyDescent="0.3">
      <c r="B226" s="191" t="s">
        <v>80</v>
      </c>
      <c r="G226" s="286">
        <f>G190</f>
        <v>15</v>
      </c>
      <c r="H226" s="286">
        <f t="shared" ref="H226:AD226" si="85">H190</f>
        <v>15.5</v>
      </c>
      <c r="I226" s="286">
        <f t="shared" si="85"/>
        <v>16</v>
      </c>
      <c r="J226" s="286">
        <f t="shared" si="85"/>
        <v>16.5</v>
      </c>
      <c r="K226" s="286">
        <f t="shared" si="85"/>
        <v>17</v>
      </c>
      <c r="L226" s="286">
        <f t="shared" si="85"/>
        <v>17.5</v>
      </c>
      <c r="M226" s="286">
        <f t="shared" si="85"/>
        <v>18</v>
      </c>
      <c r="N226" s="286">
        <f t="shared" si="85"/>
        <v>18.5</v>
      </c>
      <c r="O226" s="286">
        <f t="shared" si="85"/>
        <v>19</v>
      </c>
      <c r="P226" s="286">
        <f t="shared" si="85"/>
        <v>19.5</v>
      </c>
      <c r="Q226" s="286">
        <f t="shared" si="85"/>
        <v>20</v>
      </c>
      <c r="R226" s="286">
        <f t="shared" si="85"/>
        <v>20.5</v>
      </c>
      <c r="S226" s="286">
        <f t="shared" si="85"/>
        <v>21</v>
      </c>
      <c r="T226" s="286">
        <f t="shared" si="85"/>
        <v>21.25</v>
      </c>
      <c r="U226" s="286">
        <f t="shared" si="85"/>
        <v>21.55</v>
      </c>
      <c r="V226" s="286">
        <f t="shared" si="85"/>
        <v>21.85</v>
      </c>
      <c r="W226" s="286">
        <f t="shared" si="85"/>
        <v>22.150000000000002</v>
      </c>
      <c r="X226" s="286">
        <f t="shared" si="85"/>
        <v>22.450000000000003</v>
      </c>
      <c r="Y226" s="286">
        <f t="shared" si="85"/>
        <v>22.750000000000004</v>
      </c>
      <c r="Z226" s="286">
        <f t="shared" si="85"/>
        <v>23.050000000000004</v>
      </c>
      <c r="AA226" s="286">
        <f t="shared" si="85"/>
        <v>23.350000000000005</v>
      </c>
      <c r="AB226" s="286">
        <f t="shared" si="85"/>
        <v>23.650000000000006</v>
      </c>
      <c r="AC226" s="286">
        <f t="shared" si="85"/>
        <v>23.950000000000006</v>
      </c>
      <c r="AD226" s="286">
        <f t="shared" si="85"/>
        <v>24.250000000000007</v>
      </c>
    </row>
    <row r="227" spans="2:30" hidden="1" outlineLevel="1" x14ac:dyDescent="0.3">
      <c r="B227" s="191" t="s">
        <v>88</v>
      </c>
      <c r="G227" s="286">
        <f>AVERAGE(G190,G192)</f>
        <v>15.25</v>
      </c>
      <c r="H227" s="286">
        <f t="shared" ref="H227:AC227" si="86">AVERAGE(H190,H192)</f>
        <v>15.75</v>
      </c>
      <c r="I227" s="286">
        <f t="shared" si="86"/>
        <v>16.25</v>
      </c>
      <c r="J227" s="286">
        <f t="shared" si="86"/>
        <v>16.75</v>
      </c>
      <c r="K227" s="286">
        <f t="shared" si="86"/>
        <v>17.25</v>
      </c>
      <c r="L227" s="286">
        <f t="shared" si="86"/>
        <v>17.75</v>
      </c>
      <c r="M227" s="286">
        <f t="shared" si="86"/>
        <v>18.25</v>
      </c>
      <c r="N227" s="286">
        <f t="shared" si="86"/>
        <v>18.75</v>
      </c>
      <c r="O227" s="286">
        <f t="shared" si="86"/>
        <v>19.25</v>
      </c>
      <c r="P227" s="286">
        <f t="shared" si="86"/>
        <v>19.75</v>
      </c>
      <c r="Q227" s="286">
        <f t="shared" si="86"/>
        <v>20.25</v>
      </c>
      <c r="R227" s="286">
        <f t="shared" si="86"/>
        <v>20.75</v>
      </c>
      <c r="S227" s="286">
        <f t="shared" si="86"/>
        <v>21.125</v>
      </c>
      <c r="T227" s="286">
        <f t="shared" si="86"/>
        <v>21.4</v>
      </c>
      <c r="U227" s="286">
        <f t="shared" si="86"/>
        <v>21.700000000000003</v>
      </c>
      <c r="V227" s="286">
        <f t="shared" si="86"/>
        <v>22</v>
      </c>
      <c r="W227" s="286">
        <f t="shared" si="86"/>
        <v>22.300000000000004</v>
      </c>
      <c r="X227" s="286">
        <f t="shared" si="86"/>
        <v>22.6</v>
      </c>
      <c r="Y227" s="286">
        <f t="shared" si="86"/>
        <v>22.900000000000006</v>
      </c>
      <c r="Z227" s="286">
        <f t="shared" si="86"/>
        <v>23.200000000000003</v>
      </c>
      <c r="AA227" s="286">
        <f t="shared" si="86"/>
        <v>23.500000000000007</v>
      </c>
      <c r="AB227" s="286">
        <f t="shared" si="86"/>
        <v>23.800000000000004</v>
      </c>
      <c r="AC227" s="286">
        <f t="shared" si="86"/>
        <v>24.100000000000009</v>
      </c>
      <c r="AD227" s="286">
        <f>AVERAGE(AD190,AD192)</f>
        <v>24.400000000000006</v>
      </c>
    </row>
    <row r="228" spans="2:30" hidden="1" outlineLevel="1" x14ac:dyDescent="0.3">
      <c r="B228" s="191" t="s">
        <v>89</v>
      </c>
      <c r="G228" s="196">
        <f>Inputs!F75</f>
        <v>58</v>
      </c>
      <c r="H228" s="196">
        <f>Inputs!G75</f>
        <v>58</v>
      </c>
      <c r="I228" s="196">
        <f>Inputs!H75</f>
        <v>58</v>
      </c>
      <c r="J228" s="196">
        <f>Inputs!I75</f>
        <v>58</v>
      </c>
      <c r="K228" s="196">
        <f>Inputs!J75</f>
        <v>58</v>
      </c>
      <c r="L228" s="196">
        <f>Inputs!K75</f>
        <v>58</v>
      </c>
      <c r="M228" s="196">
        <f>Inputs!L75</f>
        <v>58</v>
      </c>
      <c r="N228" s="196">
        <f>Inputs!M75</f>
        <v>58</v>
      </c>
      <c r="O228" s="196">
        <f>Inputs!N75</f>
        <v>58</v>
      </c>
      <c r="P228" s="196">
        <f>Inputs!O75</f>
        <v>58</v>
      </c>
      <c r="Q228" s="196">
        <f>Inputs!P75</f>
        <v>58</v>
      </c>
      <c r="R228" s="196">
        <f>Inputs!Q75</f>
        <v>58</v>
      </c>
      <c r="S228" s="196">
        <f>Inputs!R75</f>
        <v>58</v>
      </c>
      <c r="T228" s="196">
        <f>Inputs!S75</f>
        <v>58</v>
      </c>
      <c r="U228" s="196">
        <f>Inputs!T75</f>
        <v>58</v>
      </c>
      <c r="V228" s="196">
        <f>Inputs!U75</f>
        <v>58</v>
      </c>
      <c r="W228" s="196">
        <f>Inputs!V75</f>
        <v>58</v>
      </c>
      <c r="X228" s="196">
        <f>Inputs!W75</f>
        <v>58</v>
      </c>
      <c r="Y228" s="196">
        <f>Inputs!X75</f>
        <v>58</v>
      </c>
      <c r="Z228" s="196">
        <f>Inputs!Y75</f>
        <v>58</v>
      </c>
      <c r="AA228" s="196">
        <f>Inputs!Z75</f>
        <v>58</v>
      </c>
      <c r="AB228" s="196">
        <f>Inputs!AA75</f>
        <v>58</v>
      </c>
      <c r="AC228" s="196">
        <f>Inputs!AB75</f>
        <v>58</v>
      </c>
      <c r="AD228" s="196">
        <f>Inputs!AC75</f>
        <v>58</v>
      </c>
    </row>
    <row r="229" spans="2:30" hidden="1" outlineLevel="1" x14ac:dyDescent="0.3">
      <c r="B229" s="191" t="s">
        <v>90</v>
      </c>
      <c r="G229" s="314">
        <f>Inputs!F$69</f>
        <v>0.22</v>
      </c>
      <c r="H229" s="314">
        <f>Inputs!G$69</f>
        <v>0.22</v>
      </c>
      <c r="I229" s="314">
        <f>Inputs!H$69</f>
        <v>0.22</v>
      </c>
      <c r="J229" s="314">
        <f>Inputs!I$69</f>
        <v>0.22</v>
      </c>
      <c r="K229" s="314">
        <f>Inputs!J$69</f>
        <v>0.22</v>
      </c>
      <c r="L229" s="314">
        <f>Inputs!K$69</f>
        <v>0.22</v>
      </c>
      <c r="M229" s="314">
        <f>Inputs!L$69</f>
        <v>0.22</v>
      </c>
      <c r="N229" s="314">
        <f>Inputs!M$69</f>
        <v>0.22</v>
      </c>
      <c r="O229" s="314">
        <f>Inputs!N$69</f>
        <v>0.22</v>
      </c>
      <c r="P229" s="314">
        <f>Inputs!O$69</f>
        <v>0.22</v>
      </c>
      <c r="Q229" s="314">
        <f>Inputs!P$69</f>
        <v>0.22</v>
      </c>
      <c r="R229" s="314">
        <f>Inputs!Q$69</f>
        <v>0.22</v>
      </c>
      <c r="S229" s="314">
        <f>Inputs!R$69</f>
        <v>0.22</v>
      </c>
      <c r="T229" s="314">
        <f>Inputs!S$69</f>
        <v>0.22</v>
      </c>
      <c r="U229" s="314">
        <f>Inputs!T$69</f>
        <v>0.22</v>
      </c>
      <c r="V229" s="314">
        <f>Inputs!U$69</f>
        <v>0.22</v>
      </c>
      <c r="W229" s="314">
        <f>Inputs!V$69</f>
        <v>0.22</v>
      </c>
      <c r="X229" s="314">
        <f>Inputs!W$69</f>
        <v>0.22</v>
      </c>
      <c r="Y229" s="314">
        <f>Inputs!X$69</f>
        <v>0.22</v>
      </c>
      <c r="Z229" s="314">
        <f>Inputs!Y$69</f>
        <v>0.22</v>
      </c>
      <c r="AA229" s="314">
        <f>Inputs!Z$69</f>
        <v>0.22</v>
      </c>
      <c r="AB229" s="314">
        <f>Inputs!AA$69</f>
        <v>0.22</v>
      </c>
      <c r="AC229" s="314">
        <f>Inputs!AB$69</f>
        <v>0.22</v>
      </c>
      <c r="AD229" s="314">
        <f>Inputs!AC$69</f>
        <v>0.22</v>
      </c>
    </row>
    <row r="230" spans="2:30" hidden="1" outlineLevel="1" x14ac:dyDescent="0.3">
      <c r="B230" s="191" t="s">
        <v>92</v>
      </c>
      <c r="G230" s="196">
        <f>G227*(G228/Inputs!$E$207)*(1+G229)</f>
        <v>89.924166666666665</v>
      </c>
      <c r="H230" s="196">
        <f>H227*(H228/Inputs!$E$207)*(1+H229)</f>
        <v>92.872500000000002</v>
      </c>
      <c r="I230" s="196">
        <f>I227*(I228/Inputs!$E$207)*(1+I229)</f>
        <v>95.820833333333326</v>
      </c>
      <c r="J230" s="196">
        <f>J227*(J228/Inputs!$E$207)*(1+J229)</f>
        <v>98.769166666666663</v>
      </c>
      <c r="K230" s="196">
        <f>K227*(K228/Inputs!$E$207)*(1+K229)</f>
        <v>101.7175</v>
      </c>
      <c r="L230" s="196">
        <f>L227*(L228/Inputs!$E$207)*(1+L229)</f>
        <v>104.66583333333332</v>
      </c>
      <c r="M230" s="196">
        <f>M227*(M228/Inputs!$E$207)*(1+M229)</f>
        <v>107.61416666666666</v>
      </c>
      <c r="N230" s="196">
        <f>N227*(N228/Inputs!$E$207)*(1+N229)</f>
        <v>110.5625</v>
      </c>
      <c r="O230" s="196">
        <f>O227*(O228/Inputs!$E$207)*(1+O229)</f>
        <v>113.51083333333332</v>
      </c>
      <c r="P230" s="196">
        <f>P227*(P228/Inputs!$E$207)*(1+P229)</f>
        <v>116.45916666666666</v>
      </c>
      <c r="Q230" s="196">
        <f>Q227*(Q228/Inputs!$E$207)*(1+Q229)</f>
        <v>119.4075</v>
      </c>
      <c r="R230" s="196">
        <f>R227*(R228/Inputs!$E$207)*(1+R229)</f>
        <v>122.35583333333332</v>
      </c>
      <c r="S230" s="196">
        <f>S227*(S228/Inputs!$E$207)*(1+S229)</f>
        <v>124.56708333333331</v>
      </c>
      <c r="T230" s="196">
        <f>T227*(T228/Inputs!$E$207)*(1+T229)</f>
        <v>126.18866666666665</v>
      </c>
      <c r="U230" s="196">
        <f>U227*(U228/Inputs!$E$207)*(1+U229)</f>
        <v>127.95766666666667</v>
      </c>
      <c r="V230" s="196">
        <f>V227*(V228/Inputs!$E$207)*(1+V229)</f>
        <v>129.72666666666666</v>
      </c>
      <c r="W230" s="196">
        <f>W227*(W228/Inputs!$E$207)*(1+W229)</f>
        <v>131.49566666666666</v>
      </c>
      <c r="X230" s="196">
        <f>X227*(X228/Inputs!$E$207)*(1+X229)</f>
        <v>133.26466666666667</v>
      </c>
      <c r="Y230" s="196">
        <f>Y227*(Y228/Inputs!$E$207)*(1+Y229)</f>
        <v>135.03366666666668</v>
      </c>
      <c r="Z230" s="196">
        <f>Z227*(Z228/Inputs!$E$207)*(1+Z229)</f>
        <v>136.80266666666668</v>
      </c>
      <c r="AA230" s="196">
        <f>AA227*(AA228/Inputs!$E$207)*(1+AA229)</f>
        <v>138.57166666666669</v>
      </c>
      <c r="AB230" s="196">
        <f>AB227*(AB228/Inputs!$E$207)*(1+AB229)</f>
        <v>140.34066666666669</v>
      </c>
      <c r="AC230" s="196">
        <f>AC227*(AC228/Inputs!$E$207)*(1+AC229)</f>
        <v>142.1096666666667</v>
      </c>
      <c r="AD230" s="196">
        <f>AD227*(AD228/Inputs!$E$207)*(1+AD229)</f>
        <v>143.87866666666667</v>
      </c>
    </row>
    <row r="231" spans="2:30" hidden="1" outlineLevel="1" x14ac:dyDescent="0.3"/>
    <row r="232" spans="2:30" hidden="1" outlineLevel="1" x14ac:dyDescent="0.3">
      <c r="B232" s="173" t="s">
        <v>85</v>
      </c>
    </row>
    <row r="233" spans="2:30" hidden="1" outlineLevel="1" x14ac:dyDescent="0.3">
      <c r="B233" s="191" t="s">
        <v>80</v>
      </c>
      <c r="G233" s="286">
        <f>G195</f>
        <v>35</v>
      </c>
      <c r="H233" s="286">
        <f t="shared" ref="H233:AD233" si="87">H195</f>
        <v>36</v>
      </c>
      <c r="I233" s="286">
        <f t="shared" si="87"/>
        <v>37</v>
      </c>
      <c r="J233" s="286">
        <f t="shared" si="87"/>
        <v>38</v>
      </c>
      <c r="K233" s="286">
        <f t="shared" si="87"/>
        <v>39</v>
      </c>
      <c r="L233" s="286">
        <f t="shared" si="87"/>
        <v>40</v>
      </c>
      <c r="M233" s="286">
        <f t="shared" si="87"/>
        <v>41</v>
      </c>
      <c r="N233" s="286">
        <f t="shared" si="87"/>
        <v>42</v>
      </c>
      <c r="O233" s="286">
        <f t="shared" si="87"/>
        <v>43</v>
      </c>
      <c r="P233" s="286">
        <f t="shared" si="87"/>
        <v>44</v>
      </c>
      <c r="Q233" s="286">
        <f t="shared" si="87"/>
        <v>45</v>
      </c>
      <c r="R233" s="286">
        <f t="shared" si="87"/>
        <v>46</v>
      </c>
      <c r="S233" s="286">
        <f t="shared" si="87"/>
        <v>47</v>
      </c>
      <c r="T233" s="286">
        <f t="shared" si="87"/>
        <v>47.5</v>
      </c>
      <c r="U233" s="286">
        <f t="shared" si="87"/>
        <v>48</v>
      </c>
      <c r="V233" s="286">
        <f t="shared" si="87"/>
        <v>48.5</v>
      </c>
      <c r="W233" s="286">
        <f t="shared" si="87"/>
        <v>49</v>
      </c>
      <c r="X233" s="286">
        <f t="shared" si="87"/>
        <v>49.5</v>
      </c>
      <c r="Y233" s="286">
        <f t="shared" si="87"/>
        <v>50</v>
      </c>
      <c r="Z233" s="286">
        <f t="shared" si="87"/>
        <v>50.5</v>
      </c>
      <c r="AA233" s="286">
        <f t="shared" si="87"/>
        <v>51</v>
      </c>
      <c r="AB233" s="286">
        <f t="shared" si="87"/>
        <v>51.5</v>
      </c>
      <c r="AC233" s="286">
        <f t="shared" si="87"/>
        <v>52</v>
      </c>
      <c r="AD233" s="286">
        <f t="shared" si="87"/>
        <v>52.5</v>
      </c>
    </row>
    <row r="234" spans="2:30" hidden="1" outlineLevel="1" x14ac:dyDescent="0.3">
      <c r="B234" s="191" t="s">
        <v>88</v>
      </c>
      <c r="G234" s="286">
        <f>AVERAGE(G195,G197)</f>
        <v>35.5</v>
      </c>
      <c r="H234" s="286">
        <f t="shared" ref="H234:AD234" si="88">AVERAGE(H195,H197)</f>
        <v>36.5</v>
      </c>
      <c r="I234" s="286">
        <f t="shared" si="88"/>
        <v>37.5</v>
      </c>
      <c r="J234" s="286">
        <f t="shared" si="88"/>
        <v>38.5</v>
      </c>
      <c r="K234" s="286">
        <f t="shared" si="88"/>
        <v>39.5</v>
      </c>
      <c r="L234" s="286">
        <f t="shared" si="88"/>
        <v>40.5</v>
      </c>
      <c r="M234" s="286">
        <f t="shared" si="88"/>
        <v>41.5</v>
      </c>
      <c r="N234" s="286">
        <f t="shared" si="88"/>
        <v>42.5</v>
      </c>
      <c r="O234" s="286">
        <f t="shared" si="88"/>
        <v>43.5</v>
      </c>
      <c r="P234" s="286">
        <f t="shared" si="88"/>
        <v>44.5</v>
      </c>
      <c r="Q234" s="286">
        <f t="shared" si="88"/>
        <v>45.5</v>
      </c>
      <c r="R234" s="286">
        <f t="shared" si="88"/>
        <v>46.5</v>
      </c>
      <c r="S234" s="286">
        <f t="shared" si="88"/>
        <v>47.25</v>
      </c>
      <c r="T234" s="286">
        <f t="shared" si="88"/>
        <v>47.75</v>
      </c>
      <c r="U234" s="286">
        <f t="shared" si="88"/>
        <v>48.25</v>
      </c>
      <c r="V234" s="286">
        <f t="shared" si="88"/>
        <v>48.75</v>
      </c>
      <c r="W234" s="286">
        <f t="shared" si="88"/>
        <v>49.25</v>
      </c>
      <c r="X234" s="286">
        <f t="shared" si="88"/>
        <v>49.75</v>
      </c>
      <c r="Y234" s="286">
        <f t="shared" si="88"/>
        <v>50.25</v>
      </c>
      <c r="Z234" s="286">
        <f t="shared" si="88"/>
        <v>50.75</v>
      </c>
      <c r="AA234" s="286">
        <f t="shared" si="88"/>
        <v>51.25</v>
      </c>
      <c r="AB234" s="286">
        <f t="shared" si="88"/>
        <v>51.75</v>
      </c>
      <c r="AC234" s="286">
        <f t="shared" si="88"/>
        <v>52.25</v>
      </c>
      <c r="AD234" s="286">
        <f t="shared" si="88"/>
        <v>52.75</v>
      </c>
    </row>
    <row r="235" spans="2:30" hidden="1" outlineLevel="1" x14ac:dyDescent="0.3">
      <c r="B235" s="191" t="s">
        <v>89</v>
      </c>
      <c r="G235" s="196">
        <f>Inputs!F77</f>
        <v>85</v>
      </c>
      <c r="H235" s="196">
        <f>Inputs!G77</f>
        <v>85</v>
      </c>
      <c r="I235" s="196">
        <f>Inputs!H77</f>
        <v>85</v>
      </c>
      <c r="J235" s="196">
        <f>Inputs!I77</f>
        <v>85</v>
      </c>
      <c r="K235" s="196">
        <f>Inputs!J77</f>
        <v>85</v>
      </c>
      <c r="L235" s="196">
        <f>Inputs!K77</f>
        <v>85</v>
      </c>
      <c r="M235" s="196">
        <f>Inputs!L77</f>
        <v>85</v>
      </c>
      <c r="N235" s="196">
        <f>Inputs!M77</f>
        <v>85</v>
      </c>
      <c r="O235" s="196">
        <f>Inputs!N77</f>
        <v>85</v>
      </c>
      <c r="P235" s="196">
        <f>Inputs!O77</f>
        <v>85</v>
      </c>
      <c r="Q235" s="196">
        <f>Inputs!P77</f>
        <v>85</v>
      </c>
      <c r="R235" s="196">
        <f>Inputs!Q77</f>
        <v>85</v>
      </c>
      <c r="S235" s="196">
        <f>Inputs!R77</f>
        <v>85</v>
      </c>
      <c r="T235" s="196">
        <f>Inputs!S77</f>
        <v>85</v>
      </c>
      <c r="U235" s="196">
        <f>Inputs!T77</f>
        <v>85</v>
      </c>
      <c r="V235" s="196">
        <f>Inputs!U77</f>
        <v>85</v>
      </c>
      <c r="W235" s="196">
        <f>Inputs!V77</f>
        <v>85</v>
      </c>
      <c r="X235" s="196">
        <f>Inputs!W77</f>
        <v>85</v>
      </c>
      <c r="Y235" s="196">
        <f>Inputs!X77</f>
        <v>85</v>
      </c>
      <c r="Z235" s="196">
        <f>Inputs!Y77</f>
        <v>85</v>
      </c>
      <c r="AA235" s="196">
        <f>Inputs!Z77</f>
        <v>85</v>
      </c>
      <c r="AB235" s="196">
        <f>Inputs!AA77</f>
        <v>85</v>
      </c>
      <c r="AC235" s="196">
        <f>Inputs!AB77</f>
        <v>85</v>
      </c>
      <c r="AD235" s="196">
        <f>Inputs!AC77</f>
        <v>85</v>
      </c>
    </row>
    <row r="236" spans="2:30" hidden="1" outlineLevel="1" x14ac:dyDescent="0.3">
      <c r="B236" s="191" t="s">
        <v>90</v>
      </c>
      <c r="G236" s="314">
        <f>Inputs!F$69</f>
        <v>0.22</v>
      </c>
      <c r="H236" s="314">
        <f>Inputs!G$69</f>
        <v>0.22</v>
      </c>
      <c r="I236" s="314">
        <f>Inputs!H$69</f>
        <v>0.22</v>
      </c>
      <c r="J236" s="314">
        <f>Inputs!I$69</f>
        <v>0.22</v>
      </c>
      <c r="K236" s="314">
        <f>Inputs!J$69</f>
        <v>0.22</v>
      </c>
      <c r="L236" s="314">
        <f>Inputs!K$69</f>
        <v>0.22</v>
      </c>
      <c r="M236" s="314">
        <f>Inputs!L$69</f>
        <v>0.22</v>
      </c>
      <c r="N236" s="314">
        <f>Inputs!M$69</f>
        <v>0.22</v>
      </c>
      <c r="O236" s="314">
        <f>Inputs!N$69</f>
        <v>0.22</v>
      </c>
      <c r="P236" s="314">
        <f>Inputs!O$69</f>
        <v>0.22</v>
      </c>
      <c r="Q236" s="314">
        <f>Inputs!P$69</f>
        <v>0.22</v>
      </c>
      <c r="R236" s="314">
        <f>Inputs!Q$69</f>
        <v>0.22</v>
      </c>
      <c r="S236" s="314">
        <f>Inputs!R$69</f>
        <v>0.22</v>
      </c>
      <c r="T236" s="314">
        <f>Inputs!S$69</f>
        <v>0.22</v>
      </c>
      <c r="U236" s="314">
        <f>Inputs!T$69</f>
        <v>0.22</v>
      </c>
      <c r="V236" s="314">
        <f>Inputs!U$69</f>
        <v>0.22</v>
      </c>
      <c r="W236" s="314">
        <f>Inputs!V$69</f>
        <v>0.22</v>
      </c>
      <c r="X236" s="314">
        <f>Inputs!W$69</f>
        <v>0.22</v>
      </c>
      <c r="Y236" s="314">
        <f>Inputs!X$69</f>
        <v>0.22</v>
      </c>
      <c r="Z236" s="314">
        <f>Inputs!Y$69</f>
        <v>0.22</v>
      </c>
      <c r="AA236" s="314">
        <f>Inputs!Z$69</f>
        <v>0.22</v>
      </c>
      <c r="AB236" s="314">
        <f>Inputs!AA$69</f>
        <v>0.22</v>
      </c>
      <c r="AC236" s="314">
        <f>Inputs!AB$69</f>
        <v>0.22</v>
      </c>
      <c r="AD236" s="314">
        <f>Inputs!AC$69</f>
        <v>0.22</v>
      </c>
    </row>
    <row r="237" spans="2:30" hidden="1" outlineLevel="1" x14ac:dyDescent="0.3">
      <c r="B237" s="191" t="s">
        <v>92</v>
      </c>
      <c r="G237" s="196">
        <f>G234*(G235/Inputs!$E$207)*(1+G236)</f>
        <v>306.77916666666664</v>
      </c>
      <c r="H237" s="196">
        <f>H234*(H235/Inputs!$E$207)*(1+H236)</f>
        <v>315.42083333333329</v>
      </c>
      <c r="I237" s="196">
        <f>I234*(I235/Inputs!$E$207)*(1+I236)</f>
        <v>324.0625</v>
      </c>
      <c r="J237" s="196">
        <f>J234*(J235/Inputs!$E$207)*(1+J236)</f>
        <v>332.70416666666665</v>
      </c>
      <c r="K237" s="196">
        <f>K234*(K235/Inputs!$E$207)*(1+K236)</f>
        <v>341.3458333333333</v>
      </c>
      <c r="L237" s="196">
        <f>L234*(L235/Inputs!$E$207)*(1+L236)</f>
        <v>349.98750000000001</v>
      </c>
      <c r="M237" s="196">
        <f>M234*(M235/Inputs!$E$207)*(1+M236)</f>
        <v>358.62916666666666</v>
      </c>
      <c r="N237" s="196">
        <f>N234*(N235/Inputs!$E$207)*(1+N236)</f>
        <v>367.27083333333326</v>
      </c>
      <c r="O237" s="196">
        <f>O234*(O235/Inputs!$E$207)*(1+O236)</f>
        <v>375.91249999999997</v>
      </c>
      <c r="P237" s="196">
        <f>P234*(P235/Inputs!$E$207)*(1+P236)</f>
        <v>384.55416666666662</v>
      </c>
      <c r="Q237" s="196">
        <f>Q234*(Q235/Inputs!$E$207)*(1+Q236)</f>
        <v>393.19583333333327</v>
      </c>
      <c r="R237" s="196">
        <f>R234*(R235/Inputs!$E$207)*(1+R236)</f>
        <v>401.83749999999998</v>
      </c>
      <c r="S237" s="196">
        <f>S234*(S235/Inputs!$E$207)*(1+S236)</f>
        <v>408.31874999999997</v>
      </c>
      <c r="T237" s="196">
        <f>T234*(T235/Inputs!$E$207)*(1+T236)</f>
        <v>412.63958333333329</v>
      </c>
      <c r="U237" s="196">
        <f>U234*(U235/Inputs!$E$207)*(1+U236)</f>
        <v>416.96041666666662</v>
      </c>
      <c r="V237" s="196">
        <f>V234*(V235/Inputs!$E$207)*(1+V236)</f>
        <v>421.28125</v>
      </c>
      <c r="W237" s="196">
        <f>W234*(W235/Inputs!$E$207)*(1+W236)</f>
        <v>425.60208333333327</v>
      </c>
      <c r="X237" s="196">
        <f>X234*(X235/Inputs!$E$207)*(1+X236)</f>
        <v>429.92291666666665</v>
      </c>
      <c r="Y237" s="196">
        <f>Y234*(Y235/Inputs!$E$207)*(1+Y236)</f>
        <v>434.24374999999998</v>
      </c>
      <c r="Z237" s="196">
        <f>Z234*(Z235/Inputs!$E$207)*(1+Z236)</f>
        <v>438.5645833333333</v>
      </c>
      <c r="AA237" s="196">
        <f>AA234*(AA235/Inputs!$E$207)*(1+AA236)</f>
        <v>442.88541666666663</v>
      </c>
      <c r="AB237" s="196">
        <f>AB234*(AB235/Inputs!$E$207)*(1+AB236)</f>
        <v>447.20625000000001</v>
      </c>
      <c r="AC237" s="196">
        <f>AC234*(AC235/Inputs!$E$207)*(1+AC236)</f>
        <v>451.52708333333328</v>
      </c>
      <c r="AD237" s="196">
        <f>AD234*(AD235/Inputs!$E$207)*(1+AD236)</f>
        <v>455.84791666666661</v>
      </c>
    </row>
    <row r="238" spans="2:30" hidden="1" outlineLevel="1" x14ac:dyDescent="0.3"/>
    <row r="239" spans="2:30" hidden="1" outlineLevel="1" x14ac:dyDescent="0.3">
      <c r="B239" s="173" t="s">
        <v>86</v>
      </c>
    </row>
    <row r="240" spans="2:30" hidden="1" outlineLevel="1" x14ac:dyDescent="0.3">
      <c r="B240" s="191" t="s">
        <v>80</v>
      </c>
      <c r="G240" s="286">
        <f>G200</f>
        <v>17</v>
      </c>
      <c r="H240" s="286">
        <f t="shared" ref="H240:AD240" si="89">H200</f>
        <v>17.3</v>
      </c>
      <c r="I240" s="286">
        <f t="shared" si="89"/>
        <v>17.600000000000001</v>
      </c>
      <c r="J240" s="286">
        <f t="shared" si="89"/>
        <v>17.900000000000002</v>
      </c>
      <c r="K240" s="286">
        <f t="shared" si="89"/>
        <v>18.200000000000003</v>
      </c>
      <c r="L240" s="286">
        <f t="shared" si="89"/>
        <v>18.500000000000004</v>
      </c>
      <c r="M240" s="286">
        <f t="shared" si="89"/>
        <v>18.800000000000004</v>
      </c>
      <c r="N240" s="286">
        <f t="shared" si="89"/>
        <v>19.100000000000005</v>
      </c>
      <c r="O240" s="286">
        <f t="shared" si="89"/>
        <v>19.400000000000006</v>
      </c>
      <c r="P240" s="286">
        <f t="shared" si="89"/>
        <v>19.700000000000006</v>
      </c>
      <c r="Q240" s="286">
        <f t="shared" si="89"/>
        <v>20.000000000000007</v>
      </c>
      <c r="R240" s="286">
        <f t="shared" si="89"/>
        <v>20.300000000000008</v>
      </c>
      <c r="S240" s="286">
        <f t="shared" si="89"/>
        <v>20.600000000000009</v>
      </c>
      <c r="T240" s="286">
        <f t="shared" si="89"/>
        <v>20.70000000000001</v>
      </c>
      <c r="U240" s="286">
        <f t="shared" si="89"/>
        <v>20.800000000000011</v>
      </c>
      <c r="V240" s="286">
        <f t="shared" si="89"/>
        <v>20.900000000000013</v>
      </c>
      <c r="W240" s="286">
        <f t="shared" si="89"/>
        <v>21.000000000000014</v>
      </c>
      <c r="X240" s="286">
        <f t="shared" si="89"/>
        <v>21.100000000000016</v>
      </c>
      <c r="Y240" s="286">
        <f t="shared" si="89"/>
        <v>21.200000000000017</v>
      </c>
      <c r="Z240" s="286">
        <f t="shared" si="89"/>
        <v>21.300000000000018</v>
      </c>
      <c r="AA240" s="286">
        <f t="shared" si="89"/>
        <v>21.40000000000002</v>
      </c>
      <c r="AB240" s="286">
        <f t="shared" si="89"/>
        <v>21.500000000000021</v>
      </c>
      <c r="AC240" s="286">
        <f t="shared" si="89"/>
        <v>21.600000000000023</v>
      </c>
      <c r="AD240" s="286">
        <f t="shared" si="89"/>
        <v>21.700000000000024</v>
      </c>
    </row>
    <row r="241" spans="2:30" hidden="1" outlineLevel="1" x14ac:dyDescent="0.3">
      <c r="B241" s="191" t="s">
        <v>88</v>
      </c>
      <c r="G241" s="286">
        <f>AVERAGE(G200,G202)</f>
        <v>17.149999999999999</v>
      </c>
      <c r="H241" s="286">
        <f t="shared" ref="H241:AD241" si="90">AVERAGE(H200,H202)</f>
        <v>17.450000000000003</v>
      </c>
      <c r="I241" s="286">
        <f t="shared" si="90"/>
        <v>17.75</v>
      </c>
      <c r="J241" s="286">
        <f t="shared" si="90"/>
        <v>18.050000000000004</v>
      </c>
      <c r="K241" s="286">
        <f t="shared" si="90"/>
        <v>18.350000000000001</v>
      </c>
      <c r="L241" s="286">
        <f t="shared" si="90"/>
        <v>18.650000000000006</v>
      </c>
      <c r="M241" s="286">
        <f t="shared" si="90"/>
        <v>18.950000000000003</v>
      </c>
      <c r="N241" s="286">
        <f t="shared" si="90"/>
        <v>19.250000000000007</v>
      </c>
      <c r="O241" s="286">
        <f t="shared" si="90"/>
        <v>19.550000000000004</v>
      </c>
      <c r="P241" s="286">
        <f t="shared" si="90"/>
        <v>19.850000000000009</v>
      </c>
      <c r="Q241" s="286">
        <f t="shared" si="90"/>
        <v>20.150000000000006</v>
      </c>
      <c r="R241" s="286">
        <f t="shared" si="90"/>
        <v>20.45000000000001</v>
      </c>
      <c r="S241" s="286">
        <f t="shared" si="90"/>
        <v>20.650000000000009</v>
      </c>
      <c r="T241" s="286">
        <f t="shared" si="90"/>
        <v>20.750000000000011</v>
      </c>
      <c r="U241" s="286">
        <f t="shared" si="90"/>
        <v>20.850000000000012</v>
      </c>
      <c r="V241" s="286">
        <f t="shared" si="90"/>
        <v>20.950000000000014</v>
      </c>
      <c r="W241" s="286">
        <f t="shared" si="90"/>
        <v>21.050000000000015</v>
      </c>
      <c r="X241" s="286">
        <f t="shared" si="90"/>
        <v>21.150000000000016</v>
      </c>
      <c r="Y241" s="286">
        <f t="shared" si="90"/>
        <v>21.250000000000018</v>
      </c>
      <c r="Z241" s="286">
        <f t="shared" si="90"/>
        <v>21.350000000000019</v>
      </c>
      <c r="AA241" s="286">
        <f t="shared" si="90"/>
        <v>21.450000000000021</v>
      </c>
      <c r="AB241" s="286">
        <f t="shared" si="90"/>
        <v>21.550000000000022</v>
      </c>
      <c r="AC241" s="286">
        <f t="shared" si="90"/>
        <v>21.650000000000023</v>
      </c>
      <c r="AD241" s="286">
        <f t="shared" si="90"/>
        <v>21.750000000000025</v>
      </c>
    </row>
    <row r="242" spans="2:30" hidden="1" outlineLevel="1" x14ac:dyDescent="0.3">
      <c r="B242" s="191" t="s">
        <v>89</v>
      </c>
      <c r="G242" s="196">
        <f>Inputs!F79</f>
        <v>65</v>
      </c>
      <c r="H242" s="196">
        <f>Inputs!G79</f>
        <v>65</v>
      </c>
      <c r="I242" s="196">
        <f>Inputs!H79</f>
        <v>65</v>
      </c>
      <c r="J242" s="196">
        <f>Inputs!I79</f>
        <v>65</v>
      </c>
      <c r="K242" s="196">
        <f>Inputs!J79</f>
        <v>65</v>
      </c>
      <c r="L242" s="196">
        <f>Inputs!K79</f>
        <v>65</v>
      </c>
      <c r="M242" s="196">
        <f>Inputs!L79</f>
        <v>65</v>
      </c>
      <c r="N242" s="196">
        <f>Inputs!M79</f>
        <v>65</v>
      </c>
      <c r="O242" s="196">
        <f>Inputs!N79</f>
        <v>65</v>
      </c>
      <c r="P242" s="196">
        <f>Inputs!O79</f>
        <v>65</v>
      </c>
      <c r="Q242" s="196">
        <f>Inputs!P79</f>
        <v>65</v>
      </c>
      <c r="R242" s="196">
        <f>Inputs!Q79</f>
        <v>65</v>
      </c>
      <c r="S242" s="196">
        <f>Inputs!R79</f>
        <v>65</v>
      </c>
      <c r="T242" s="196">
        <f>Inputs!S79</f>
        <v>65</v>
      </c>
      <c r="U242" s="196">
        <f>Inputs!T79</f>
        <v>65</v>
      </c>
      <c r="V242" s="196">
        <f>Inputs!U79</f>
        <v>65</v>
      </c>
      <c r="W242" s="196">
        <f>Inputs!V79</f>
        <v>65</v>
      </c>
      <c r="X242" s="196">
        <f>Inputs!W79</f>
        <v>65</v>
      </c>
      <c r="Y242" s="196">
        <f>Inputs!X79</f>
        <v>65</v>
      </c>
      <c r="Z242" s="196">
        <f>Inputs!Y79</f>
        <v>65</v>
      </c>
      <c r="AA242" s="196">
        <f>Inputs!Z79</f>
        <v>65</v>
      </c>
      <c r="AB242" s="196">
        <f>Inputs!AA79</f>
        <v>65</v>
      </c>
      <c r="AC242" s="196">
        <f>Inputs!AB79</f>
        <v>65</v>
      </c>
      <c r="AD242" s="196">
        <f>Inputs!AC79</f>
        <v>65</v>
      </c>
    </row>
    <row r="243" spans="2:30" hidden="1" outlineLevel="1" x14ac:dyDescent="0.3">
      <c r="B243" s="191" t="s">
        <v>90</v>
      </c>
      <c r="G243" s="314">
        <f>Inputs!F$69</f>
        <v>0.22</v>
      </c>
      <c r="H243" s="314">
        <f>Inputs!G$69</f>
        <v>0.22</v>
      </c>
      <c r="I243" s="314">
        <f>Inputs!H$69</f>
        <v>0.22</v>
      </c>
      <c r="J243" s="314">
        <f>Inputs!I$69</f>
        <v>0.22</v>
      </c>
      <c r="K243" s="314">
        <f>Inputs!J$69</f>
        <v>0.22</v>
      </c>
      <c r="L243" s="314">
        <f>Inputs!K$69</f>
        <v>0.22</v>
      </c>
      <c r="M243" s="314">
        <f>Inputs!L$69</f>
        <v>0.22</v>
      </c>
      <c r="N243" s="314">
        <f>Inputs!M$69</f>
        <v>0.22</v>
      </c>
      <c r="O243" s="314">
        <f>Inputs!N$69</f>
        <v>0.22</v>
      </c>
      <c r="P243" s="314">
        <f>Inputs!O$69</f>
        <v>0.22</v>
      </c>
      <c r="Q243" s="314">
        <f>Inputs!P$69</f>
        <v>0.22</v>
      </c>
      <c r="R243" s="314">
        <f>Inputs!Q$69</f>
        <v>0.22</v>
      </c>
      <c r="S243" s="314">
        <f>Inputs!R$69</f>
        <v>0.22</v>
      </c>
      <c r="T243" s="314">
        <f>Inputs!S$69</f>
        <v>0.22</v>
      </c>
      <c r="U243" s="314">
        <f>Inputs!T$69</f>
        <v>0.22</v>
      </c>
      <c r="V243" s="314">
        <f>Inputs!U$69</f>
        <v>0.22</v>
      </c>
      <c r="W243" s="314">
        <f>Inputs!V$69</f>
        <v>0.22</v>
      </c>
      <c r="X243" s="314">
        <f>Inputs!W$69</f>
        <v>0.22</v>
      </c>
      <c r="Y243" s="314">
        <f>Inputs!X$69</f>
        <v>0.22</v>
      </c>
      <c r="Z243" s="314">
        <f>Inputs!Y$69</f>
        <v>0.22</v>
      </c>
      <c r="AA243" s="314">
        <f>Inputs!Z$69</f>
        <v>0.22</v>
      </c>
      <c r="AB243" s="314">
        <f>Inputs!AA$69</f>
        <v>0.22</v>
      </c>
      <c r="AC243" s="314">
        <f>Inputs!AB$69</f>
        <v>0.22</v>
      </c>
      <c r="AD243" s="314">
        <f>Inputs!AC$69</f>
        <v>0.22</v>
      </c>
    </row>
    <row r="244" spans="2:30" hidden="1" outlineLevel="1" x14ac:dyDescent="0.3">
      <c r="B244" s="191" t="s">
        <v>92</v>
      </c>
      <c r="G244" s="196">
        <f>G241*(G242/Inputs!$E$207)*(1+G243)</f>
        <v>113.33291666666666</v>
      </c>
      <c r="H244" s="196">
        <f>H241*(H242/Inputs!$E$207)*(1+H243)</f>
        <v>115.31541666666669</v>
      </c>
      <c r="I244" s="196">
        <f>I241*(I242/Inputs!$E$207)*(1+I243)</f>
        <v>117.29791666666668</v>
      </c>
      <c r="J244" s="196">
        <f>J241*(J242/Inputs!$E$207)*(1+J243)</f>
        <v>119.2804166666667</v>
      </c>
      <c r="K244" s="196">
        <f>K241*(K242/Inputs!$E$207)*(1+K243)</f>
        <v>121.26291666666667</v>
      </c>
      <c r="L244" s="196">
        <f>L241*(L242/Inputs!$E$207)*(1+L243)</f>
        <v>123.24541666666671</v>
      </c>
      <c r="M244" s="196">
        <f>M241*(M242/Inputs!$E$207)*(1+M243)</f>
        <v>125.22791666666669</v>
      </c>
      <c r="N244" s="196">
        <f>N241*(N242/Inputs!$E$207)*(1+N243)</f>
        <v>127.21041666666672</v>
      </c>
      <c r="O244" s="196">
        <f>O241*(O242/Inputs!$E$207)*(1+O243)</f>
        <v>129.19291666666669</v>
      </c>
      <c r="P244" s="196">
        <f>P241*(P242/Inputs!$E$207)*(1+P243)</f>
        <v>131.17541666666673</v>
      </c>
      <c r="Q244" s="196">
        <f>Q241*(Q242/Inputs!$E$207)*(1+Q243)</f>
        <v>133.15791666666672</v>
      </c>
      <c r="R244" s="196">
        <f>R241*(R242/Inputs!$E$207)*(1+R243)</f>
        <v>135.14041666666674</v>
      </c>
      <c r="S244" s="196">
        <f>S241*(S242/Inputs!$E$207)*(1+S243)</f>
        <v>136.4620833333334</v>
      </c>
      <c r="T244" s="196">
        <f>T241*(T242/Inputs!$E$207)*(1+T243)</f>
        <v>137.12291666666675</v>
      </c>
      <c r="U244" s="196">
        <f>U241*(U242/Inputs!$E$207)*(1+U243)</f>
        <v>137.78375000000008</v>
      </c>
      <c r="V244" s="196">
        <f>V241*(V242/Inputs!$E$207)*(1+V243)</f>
        <v>138.44458333333341</v>
      </c>
      <c r="W244" s="196">
        <f>W241*(W242/Inputs!$E$207)*(1+W243)</f>
        <v>139.10541666666677</v>
      </c>
      <c r="X244" s="196">
        <f>X241*(X242/Inputs!$E$207)*(1+X243)</f>
        <v>139.76625000000013</v>
      </c>
      <c r="Y244" s="196">
        <f>Y241*(Y242/Inputs!$E$207)*(1+Y243)</f>
        <v>140.42708333333346</v>
      </c>
      <c r="Z244" s="196">
        <f>Z241*(Z242/Inputs!$E$207)*(1+Z243)</f>
        <v>141.08791666666679</v>
      </c>
      <c r="AA244" s="196">
        <f>AA241*(AA242/Inputs!$E$207)*(1+AA243)</f>
        <v>141.74875000000014</v>
      </c>
      <c r="AB244" s="196">
        <f>AB241*(AB242/Inputs!$E$207)*(1+AB243)</f>
        <v>142.4095833333335</v>
      </c>
      <c r="AC244" s="196">
        <f>AC241*(AC242/Inputs!$E$207)*(1+AC243)</f>
        <v>143.07041666666683</v>
      </c>
      <c r="AD244" s="196">
        <f>AD241*(AD242/Inputs!$E$207)*(1+AD243)</f>
        <v>143.73125000000016</v>
      </c>
    </row>
    <row r="245" spans="2:30" hidden="1" outlineLevel="1" x14ac:dyDescent="0.3"/>
    <row r="246" spans="2:30" hidden="1" outlineLevel="1" x14ac:dyDescent="0.3">
      <c r="B246" s="173" t="s">
        <v>101</v>
      </c>
    </row>
    <row r="247" spans="2:30" hidden="1" outlineLevel="1" x14ac:dyDescent="0.3">
      <c r="B247" s="191" t="s">
        <v>102</v>
      </c>
      <c r="G247" s="294">
        <f>G216</f>
        <v>144.82416666666666</v>
      </c>
      <c r="H247" s="292">
        <f t="shared" ref="H247:AD247" si="91">H216</f>
        <v>149.80583333333331</v>
      </c>
      <c r="I247" s="292">
        <f t="shared" si="91"/>
        <v>154.78749999999999</v>
      </c>
      <c r="J247" s="292">
        <f t="shared" si="91"/>
        <v>159.76916666666665</v>
      </c>
      <c r="K247" s="292">
        <f t="shared" si="91"/>
        <v>164.7508333333333</v>
      </c>
      <c r="L247" s="292">
        <f t="shared" si="91"/>
        <v>169.73249999999996</v>
      </c>
      <c r="M247" s="292">
        <f t="shared" si="91"/>
        <v>174.71416666666664</v>
      </c>
      <c r="N247" s="292">
        <f t="shared" si="91"/>
        <v>179.6958333333333</v>
      </c>
      <c r="O247" s="292">
        <f t="shared" si="91"/>
        <v>184.67749999999995</v>
      </c>
      <c r="P247" s="292">
        <f t="shared" si="91"/>
        <v>189.65916666666661</v>
      </c>
      <c r="Q247" s="292">
        <f t="shared" si="91"/>
        <v>194.64083333333329</v>
      </c>
      <c r="R247" s="292">
        <f t="shared" si="91"/>
        <v>199.62249999999992</v>
      </c>
      <c r="S247" s="292">
        <f t="shared" si="91"/>
        <v>203.53666666666658</v>
      </c>
      <c r="T247" s="292">
        <f t="shared" si="91"/>
        <v>206.38333333333324</v>
      </c>
      <c r="U247" s="292">
        <f t="shared" si="91"/>
        <v>209.2299999999999</v>
      </c>
      <c r="V247" s="292">
        <f t="shared" si="91"/>
        <v>212.07666666666657</v>
      </c>
      <c r="W247" s="292">
        <f t="shared" si="91"/>
        <v>214.9233333333332</v>
      </c>
      <c r="X247" s="292">
        <f t="shared" si="91"/>
        <v>217.76999999999987</v>
      </c>
      <c r="Y247" s="292">
        <f t="shared" si="91"/>
        <v>220.61666666666653</v>
      </c>
      <c r="Z247" s="292">
        <f t="shared" si="91"/>
        <v>223.46333333333317</v>
      </c>
      <c r="AA247" s="292">
        <f t="shared" si="91"/>
        <v>226.30999999999983</v>
      </c>
      <c r="AB247" s="292">
        <f t="shared" si="91"/>
        <v>229.15666666666647</v>
      </c>
      <c r="AC247" s="292">
        <f t="shared" si="91"/>
        <v>232.00333333333319</v>
      </c>
      <c r="AD247" s="295">
        <f t="shared" si="91"/>
        <v>234.8499999999998</v>
      </c>
    </row>
    <row r="248" spans="2:30" hidden="1" outlineLevel="1" x14ac:dyDescent="0.3">
      <c r="B248" s="191" t="s">
        <v>103</v>
      </c>
      <c r="G248" s="296">
        <f>G223</f>
        <v>37.286250000000003</v>
      </c>
      <c r="H248" s="297">
        <f t="shared" ref="H248:AD248" si="92">H223</f>
        <v>38.658750000000005</v>
      </c>
      <c r="I248" s="297">
        <f t="shared" si="92"/>
        <v>40.031250000000007</v>
      </c>
      <c r="J248" s="297">
        <f t="shared" si="92"/>
        <v>41.403750000000009</v>
      </c>
      <c r="K248" s="297">
        <f t="shared" si="92"/>
        <v>42.776250000000019</v>
      </c>
      <c r="L248" s="297">
        <f t="shared" si="92"/>
        <v>44.148750000000014</v>
      </c>
      <c r="M248" s="297">
        <f t="shared" si="92"/>
        <v>45.521250000000016</v>
      </c>
      <c r="N248" s="297">
        <f t="shared" si="92"/>
        <v>46.893750000000026</v>
      </c>
      <c r="O248" s="297">
        <f t="shared" si="92"/>
        <v>48.266250000000028</v>
      </c>
      <c r="P248" s="297">
        <f t="shared" si="92"/>
        <v>49.63875000000003</v>
      </c>
      <c r="Q248" s="297">
        <f t="shared" si="92"/>
        <v>51.011250000000032</v>
      </c>
      <c r="R248" s="297">
        <f t="shared" si="92"/>
        <v>52.383750000000035</v>
      </c>
      <c r="S248" s="297">
        <f t="shared" si="92"/>
        <v>53.298750000000041</v>
      </c>
      <c r="T248" s="297">
        <f t="shared" si="92"/>
        <v>53.756250000000037</v>
      </c>
      <c r="U248" s="297">
        <f t="shared" si="92"/>
        <v>54.213750000000033</v>
      </c>
      <c r="V248" s="297">
        <f t="shared" si="92"/>
        <v>54.671250000000022</v>
      </c>
      <c r="W248" s="297">
        <f t="shared" si="92"/>
        <v>55.128750000000032</v>
      </c>
      <c r="X248" s="297">
        <f t="shared" si="92"/>
        <v>55.586250000000028</v>
      </c>
      <c r="Y248" s="297">
        <f t="shared" si="92"/>
        <v>56.043750000000031</v>
      </c>
      <c r="Z248" s="297">
        <f t="shared" si="92"/>
        <v>56.501250000000027</v>
      </c>
      <c r="AA248" s="297">
        <f t="shared" si="92"/>
        <v>56.958750000000023</v>
      </c>
      <c r="AB248" s="297">
        <f t="shared" si="92"/>
        <v>57.416250000000019</v>
      </c>
      <c r="AC248" s="297">
        <f t="shared" si="92"/>
        <v>57.873750000000022</v>
      </c>
      <c r="AD248" s="298">
        <f t="shared" si="92"/>
        <v>58.331250000000018</v>
      </c>
    </row>
    <row r="249" spans="2:30" hidden="1" outlineLevel="1" x14ac:dyDescent="0.3">
      <c r="B249" s="191" t="s">
        <v>104</v>
      </c>
      <c r="G249" s="296">
        <f>G230</f>
        <v>89.924166666666665</v>
      </c>
      <c r="H249" s="297">
        <f t="shared" ref="H249:AD249" si="93">H230</f>
        <v>92.872500000000002</v>
      </c>
      <c r="I249" s="297">
        <f t="shared" si="93"/>
        <v>95.820833333333326</v>
      </c>
      <c r="J249" s="297">
        <f t="shared" si="93"/>
        <v>98.769166666666663</v>
      </c>
      <c r="K249" s="297">
        <f t="shared" si="93"/>
        <v>101.7175</v>
      </c>
      <c r="L249" s="297">
        <f t="shared" si="93"/>
        <v>104.66583333333332</v>
      </c>
      <c r="M249" s="297">
        <f t="shared" si="93"/>
        <v>107.61416666666666</v>
      </c>
      <c r="N249" s="297">
        <f t="shared" si="93"/>
        <v>110.5625</v>
      </c>
      <c r="O249" s="297">
        <f t="shared" si="93"/>
        <v>113.51083333333332</v>
      </c>
      <c r="P249" s="297">
        <f t="shared" si="93"/>
        <v>116.45916666666666</v>
      </c>
      <c r="Q249" s="297">
        <f t="shared" si="93"/>
        <v>119.4075</v>
      </c>
      <c r="R249" s="297">
        <f t="shared" si="93"/>
        <v>122.35583333333332</v>
      </c>
      <c r="S249" s="297">
        <f t="shared" si="93"/>
        <v>124.56708333333331</v>
      </c>
      <c r="T249" s="297">
        <f t="shared" si="93"/>
        <v>126.18866666666665</v>
      </c>
      <c r="U249" s="297">
        <f t="shared" si="93"/>
        <v>127.95766666666667</v>
      </c>
      <c r="V249" s="297">
        <f t="shared" si="93"/>
        <v>129.72666666666666</v>
      </c>
      <c r="W249" s="297">
        <f t="shared" si="93"/>
        <v>131.49566666666666</v>
      </c>
      <c r="X249" s="297">
        <f t="shared" si="93"/>
        <v>133.26466666666667</v>
      </c>
      <c r="Y249" s="297">
        <f t="shared" si="93"/>
        <v>135.03366666666668</v>
      </c>
      <c r="Z249" s="297">
        <f t="shared" si="93"/>
        <v>136.80266666666668</v>
      </c>
      <c r="AA249" s="297">
        <f t="shared" si="93"/>
        <v>138.57166666666669</v>
      </c>
      <c r="AB249" s="297">
        <f t="shared" si="93"/>
        <v>140.34066666666669</v>
      </c>
      <c r="AC249" s="297">
        <f t="shared" si="93"/>
        <v>142.1096666666667</v>
      </c>
      <c r="AD249" s="298">
        <f t="shared" si="93"/>
        <v>143.87866666666667</v>
      </c>
    </row>
    <row r="250" spans="2:30" hidden="1" outlineLevel="1" x14ac:dyDescent="0.3">
      <c r="B250" s="191" t="s">
        <v>105</v>
      </c>
      <c r="G250" s="296">
        <f>G237</f>
        <v>306.77916666666664</v>
      </c>
      <c r="H250" s="297">
        <f t="shared" ref="H250:AD250" si="94">H237</f>
        <v>315.42083333333329</v>
      </c>
      <c r="I250" s="297">
        <f t="shared" si="94"/>
        <v>324.0625</v>
      </c>
      <c r="J250" s="297">
        <f t="shared" si="94"/>
        <v>332.70416666666665</v>
      </c>
      <c r="K250" s="297">
        <f t="shared" si="94"/>
        <v>341.3458333333333</v>
      </c>
      <c r="L250" s="297">
        <f t="shared" si="94"/>
        <v>349.98750000000001</v>
      </c>
      <c r="M250" s="297">
        <f t="shared" si="94"/>
        <v>358.62916666666666</v>
      </c>
      <c r="N250" s="297">
        <f t="shared" si="94"/>
        <v>367.27083333333326</v>
      </c>
      <c r="O250" s="297">
        <f t="shared" si="94"/>
        <v>375.91249999999997</v>
      </c>
      <c r="P250" s="297">
        <f t="shared" si="94"/>
        <v>384.55416666666662</v>
      </c>
      <c r="Q250" s="297">
        <f t="shared" si="94"/>
        <v>393.19583333333327</v>
      </c>
      <c r="R250" s="297">
        <f t="shared" si="94"/>
        <v>401.83749999999998</v>
      </c>
      <c r="S250" s="297">
        <f t="shared" si="94"/>
        <v>408.31874999999997</v>
      </c>
      <c r="T250" s="297">
        <f t="shared" si="94"/>
        <v>412.63958333333329</v>
      </c>
      <c r="U250" s="297">
        <f t="shared" si="94"/>
        <v>416.96041666666662</v>
      </c>
      <c r="V250" s="297">
        <f t="shared" si="94"/>
        <v>421.28125</v>
      </c>
      <c r="W250" s="297">
        <f t="shared" si="94"/>
        <v>425.60208333333327</v>
      </c>
      <c r="X250" s="297">
        <f t="shared" si="94"/>
        <v>429.92291666666665</v>
      </c>
      <c r="Y250" s="297">
        <f t="shared" si="94"/>
        <v>434.24374999999998</v>
      </c>
      <c r="Z250" s="297">
        <f t="shared" si="94"/>
        <v>438.5645833333333</v>
      </c>
      <c r="AA250" s="297">
        <f t="shared" si="94"/>
        <v>442.88541666666663</v>
      </c>
      <c r="AB250" s="297">
        <f t="shared" si="94"/>
        <v>447.20625000000001</v>
      </c>
      <c r="AC250" s="297">
        <f t="shared" si="94"/>
        <v>451.52708333333328</v>
      </c>
      <c r="AD250" s="298">
        <f t="shared" si="94"/>
        <v>455.84791666666661</v>
      </c>
    </row>
    <row r="251" spans="2:30" hidden="1" outlineLevel="1" x14ac:dyDescent="0.3">
      <c r="B251" s="191" t="s">
        <v>106</v>
      </c>
      <c r="G251" s="296">
        <f>G244</f>
        <v>113.33291666666666</v>
      </c>
      <c r="H251" s="297">
        <f t="shared" ref="H251:AD251" si="95">H244</f>
        <v>115.31541666666669</v>
      </c>
      <c r="I251" s="297">
        <f t="shared" si="95"/>
        <v>117.29791666666668</v>
      </c>
      <c r="J251" s="297">
        <f t="shared" si="95"/>
        <v>119.2804166666667</v>
      </c>
      <c r="K251" s="297">
        <f t="shared" si="95"/>
        <v>121.26291666666667</v>
      </c>
      <c r="L251" s="297">
        <f t="shared" si="95"/>
        <v>123.24541666666671</v>
      </c>
      <c r="M251" s="297">
        <f t="shared" si="95"/>
        <v>125.22791666666669</v>
      </c>
      <c r="N251" s="297">
        <f t="shared" si="95"/>
        <v>127.21041666666672</v>
      </c>
      <c r="O251" s="297">
        <f t="shared" si="95"/>
        <v>129.19291666666669</v>
      </c>
      <c r="P251" s="297">
        <f t="shared" si="95"/>
        <v>131.17541666666673</v>
      </c>
      <c r="Q251" s="297">
        <f t="shared" si="95"/>
        <v>133.15791666666672</v>
      </c>
      <c r="R251" s="297">
        <f t="shared" si="95"/>
        <v>135.14041666666674</v>
      </c>
      <c r="S251" s="297">
        <f t="shared" si="95"/>
        <v>136.4620833333334</v>
      </c>
      <c r="T251" s="297">
        <f t="shared" si="95"/>
        <v>137.12291666666675</v>
      </c>
      <c r="U251" s="297">
        <f t="shared" si="95"/>
        <v>137.78375000000008</v>
      </c>
      <c r="V251" s="297">
        <f t="shared" si="95"/>
        <v>138.44458333333341</v>
      </c>
      <c r="W251" s="297">
        <f t="shared" si="95"/>
        <v>139.10541666666677</v>
      </c>
      <c r="X251" s="297">
        <f t="shared" si="95"/>
        <v>139.76625000000013</v>
      </c>
      <c r="Y251" s="297">
        <f t="shared" si="95"/>
        <v>140.42708333333346</v>
      </c>
      <c r="Z251" s="297">
        <f t="shared" si="95"/>
        <v>141.08791666666679</v>
      </c>
      <c r="AA251" s="297">
        <f t="shared" si="95"/>
        <v>141.74875000000014</v>
      </c>
      <c r="AB251" s="297">
        <f t="shared" si="95"/>
        <v>142.4095833333335</v>
      </c>
      <c r="AC251" s="297">
        <f t="shared" si="95"/>
        <v>143.07041666666683</v>
      </c>
      <c r="AD251" s="298">
        <f t="shared" si="95"/>
        <v>143.73125000000016</v>
      </c>
    </row>
    <row r="252" spans="2:30" hidden="1" outlineLevel="1" x14ac:dyDescent="0.3">
      <c r="B252" s="191" t="s">
        <v>101</v>
      </c>
      <c r="G252" s="315">
        <f>SUM(G247:G251)</f>
        <v>692.14666666666665</v>
      </c>
      <c r="H252" s="316">
        <f t="shared" ref="H252:AD252" si="96">SUM(H247:H251)</f>
        <v>712.07333333333338</v>
      </c>
      <c r="I252" s="316">
        <f t="shared" si="96"/>
        <v>732</v>
      </c>
      <c r="J252" s="316">
        <f t="shared" si="96"/>
        <v>751.92666666666673</v>
      </c>
      <c r="K252" s="316">
        <f t="shared" si="96"/>
        <v>771.85333333333335</v>
      </c>
      <c r="L252" s="316">
        <f t="shared" si="96"/>
        <v>791.78000000000009</v>
      </c>
      <c r="M252" s="316">
        <f t="shared" si="96"/>
        <v>811.70666666666671</v>
      </c>
      <c r="N252" s="316">
        <f t="shared" si="96"/>
        <v>831.63333333333333</v>
      </c>
      <c r="O252" s="316">
        <f t="shared" si="96"/>
        <v>851.56</v>
      </c>
      <c r="P252" s="316">
        <f t="shared" si="96"/>
        <v>871.48666666666668</v>
      </c>
      <c r="Q252" s="316">
        <f t="shared" si="96"/>
        <v>891.41333333333341</v>
      </c>
      <c r="R252" s="316">
        <f t="shared" si="96"/>
        <v>911.34</v>
      </c>
      <c r="S252" s="316">
        <f t="shared" si="96"/>
        <v>926.18333333333317</v>
      </c>
      <c r="T252" s="316">
        <f t="shared" si="96"/>
        <v>936.09074999999984</v>
      </c>
      <c r="U252" s="316">
        <f t="shared" si="96"/>
        <v>946.14558333333321</v>
      </c>
      <c r="V252" s="316">
        <f t="shared" si="96"/>
        <v>956.20041666666668</v>
      </c>
      <c r="W252" s="316">
        <f t="shared" si="96"/>
        <v>966.25524999999993</v>
      </c>
      <c r="X252" s="316">
        <f t="shared" si="96"/>
        <v>976.3100833333333</v>
      </c>
      <c r="Y252" s="316">
        <f t="shared" si="96"/>
        <v>986.36491666666666</v>
      </c>
      <c r="Z252" s="316">
        <f t="shared" si="96"/>
        <v>996.41975000000002</v>
      </c>
      <c r="AA252" s="316">
        <f t="shared" si="96"/>
        <v>1006.4745833333334</v>
      </c>
      <c r="AB252" s="316">
        <f t="shared" si="96"/>
        <v>1016.5294166666667</v>
      </c>
      <c r="AC252" s="316">
        <f t="shared" si="96"/>
        <v>1026.5842500000001</v>
      </c>
      <c r="AD252" s="317">
        <f t="shared" si="96"/>
        <v>1036.6390833333332</v>
      </c>
    </row>
    <row r="253" spans="2:30" hidden="1" outlineLevel="1" x14ac:dyDescent="0.3"/>
    <row r="254" spans="2:30" hidden="1" outlineLevel="1" x14ac:dyDescent="0.3">
      <c r="B254" s="192" t="s">
        <v>93</v>
      </c>
    </row>
    <row r="255" spans="2:30" hidden="1" outlineLevel="1" x14ac:dyDescent="0.3">
      <c r="B255" s="174" t="s">
        <v>82</v>
      </c>
      <c r="G255" s="294">
        <f>G207</f>
        <v>97.8</v>
      </c>
      <c r="H255" s="292">
        <f t="shared" ref="H255:AD255" si="97">H207</f>
        <v>100.6</v>
      </c>
      <c r="I255" s="295">
        <f t="shared" si="97"/>
        <v>103.39999999999999</v>
      </c>
      <c r="J255" s="292">
        <f t="shared" si="97"/>
        <v>106.19999999999999</v>
      </c>
      <c r="K255" s="292">
        <f t="shared" si="97"/>
        <v>108.99999999999999</v>
      </c>
      <c r="L255" s="295">
        <f t="shared" si="97"/>
        <v>111.79999999999998</v>
      </c>
      <c r="M255" s="292">
        <f t="shared" si="97"/>
        <v>114.59999999999998</v>
      </c>
      <c r="N255" s="292">
        <f t="shared" si="97"/>
        <v>117.39999999999998</v>
      </c>
      <c r="O255" s="295">
        <f t="shared" si="97"/>
        <v>120.19999999999997</v>
      </c>
      <c r="P255" s="292">
        <f t="shared" si="97"/>
        <v>122.99999999999997</v>
      </c>
      <c r="Q255" s="292">
        <f t="shared" si="97"/>
        <v>125.79999999999997</v>
      </c>
      <c r="R255" s="295">
        <f t="shared" si="97"/>
        <v>128.59999999999997</v>
      </c>
      <c r="S255" s="292">
        <f t="shared" si="97"/>
        <v>129.94999999999996</v>
      </c>
      <c r="T255" s="292">
        <f t="shared" si="97"/>
        <v>131.34999999999997</v>
      </c>
      <c r="U255" s="295">
        <f t="shared" si="97"/>
        <v>132.74999999999997</v>
      </c>
      <c r="V255" s="292">
        <f t="shared" si="97"/>
        <v>134.14999999999998</v>
      </c>
      <c r="W255" s="292">
        <f t="shared" si="97"/>
        <v>135.54999999999998</v>
      </c>
      <c r="X255" s="295">
        <f t="shared" si="97"/>
        <v>136.94999999999999</v>
      </c>
      <c r="Y255" s="292">
        <f t="shared" si="97"/>
        <v>138.35</v>
      </c>
      <c r="Z255" s="292">
        <f t="shared" si="97"/>
        <v>139.75</v>
      </c>
      <c r="AA255" s="295">
        <f t="shared" si="97"/>
        <v>141.15</v>
      </c>
      <c r="AB255" s="292">
        <f t="shared" si="97"/>
        <v>142.55000000000001</v>
      </c>
      <c r="AC255" s="292">
        <f t="shared" si="97"/>
        <v>143.95000000000002</v>
      </c>
      <c r="AD255" s="295">
        <f t="shared" si="97"/>
        <v>145.35000000000002</v>
      </c>
    </row>
    <row r="256" spans="2:30" hidden="1" outlineLevel="1" x14ac:dyDescent="0.3">
      <c r="B256" s="174" t="s">
        <v>94</v>
      </c>
      <c r="G256" s="308">
        <f>G206</f>
        <v>2.8</v>
      </c>
      <c r="H256" s="309">
        <f t="shared" ref="H256:AC256" si="98">H206</f>
        <v>2.8</v>
      </c>
      <c r="I256" s="310">
        <f t="shared" si="98"/>
        <v>2.8</v>
      </c>
      <c r="J256" s="309">
        <f t="shared" si="98"/>
        <v>2.8</v>
      </c>
      <c r="K256" s="309">
        <f t="shared" si="98"/>
        <v>2.8</v>
      </c>
      <c r="L256" s="310">
        <f t="shared" si="98"/>
        <v>2.8</v>
      </c>
      <c r="M256" s="309">
        <f t="shared" si="98"/>
        <v>2.8</v>
      </c>
      <c r="N256" s="309">
        <f t="shared" si="98"/>
        <v>2.8</v>
      </c>
      <c r="O256" s="310">
        <f t="shared" si="98"/>
        <v>2.8</v>
      </c>
      <c r="P256" s="309">
        <f t="shared" si="98"/>
        <v>2.8</v>
      </c>
      <c r="Q256" s="309">
        <f t="shared" si="98"/>
        <v>2.8</v>
      </c>
      <c r="R256" s="310">
        <f t="shared" si="98"/>
        <v>2.8</v>
      </c>
      <c r="S256" s="309">
        <f t="shared" si="98"/>
        <v>1.35</v>
      </c>
      <c r="T256" s="309">
        <f t="shared" si="98"/>
        <v>1.4</v>
      </c>
      <c r="U256" s="310">
        <f t="shared" si="98"/>
        <v>1.4</v>
      </c>
      <c r="V256" s="309">
        <f t="shared" si="98"/>
        <v>1.4</v>
      </c>
      <c r="W256" s="309">
        <f t="shared" si="98"/>
        <v>1.4</v>
      </c>
      <c r="X256" s="310">
        <f t="shared" si="98"/>
        <v>1.4</v>
      </c>
      <c r="Y256" s="309">
        <f t="shared" si="98"/>
        <v>1.4</v>
      </c>
      <c r="Z256" s="309">
        <f t="shared" si="98"/>
        <v>1.4</v>
      </c>
      <c r="AA256" s="310">
        <f t="shared" si="98"/>
        <v>1.4</v>
      </c>
      <c r="AB256" s="309">
        <f t="shared" si="98"/>
        <v>1.4</v>
      </c>
      <c r="AC256" s="309">
        <f t="shared" si="98"/>
        <v>1.4</v>
      </c>
      <c r="AD256" s="310">
        <f>AD206</f>
        <v>1.4</v>
      </c>
    </row>
    <row r="257" spans="1:30" hidden="1" outlineLevel="1" x14ac:dyDescent="0.3">
      <c r="B257" s="165" t="s">
        <v>95</v>
      </c>
      <c r="G257" s="318">
        <f>G256/G255</f>
        <v>2.8629856850715747E-2</v>
      </c>
      <c r="H257" s="319">
        <f t="shared" ref="H257:AC257" si="99">H256/H255</f>
        <v>2.7833001988071572E-2</v>
      </c>
      <c r="I257" s="320">
        <f t="shared" si="99"/>
        <v>2.7079303675048357E-2</v>
      </c>
      <c r="J257" s="319">
        <f t="shared" si="99"/>
        <v>2.6365348399246705E-2</v>
      </c>
      <c r="K257" s="319">
        <f t="shared" si="99"/>
        <v>2.5688073394495414E-2</v>
      </c>
      <c r="L257" s="320">
        <f t="shared" si="99"/>
        <v>2.5044722719141325E-2</v>
      </c>
      <c r="M257" s="319">
        <f t="shared" si="99"/>
        <v>2.4432809773123912E-2</v>
      </c>
      <c r="N257" s="319">
        <f t="shared" si="99"/>
        <v>2.3850085178875643E-2</v>
      </c>
      <c r="O257" s="320">
        <f t="shared" si="99"/>
        <v>2.3294509151414313E-2</v>
      </c>
      <c r="P257" s="319">
        <f t="shared" si="99"/>
        <v>2.2764227642276428E-2</v>
      </c>
      <c r="Q257" s="319">
        <f t="shared" si="99"/>
        <v>2.2257551669316381E-2</v>
      </c>
      <c r="R257" s="320">
        <f t="shared" si="99"/>
        <v>2.1772939346811824E-2</v>
      </c>
      <c r="S257" s="319">
        <f t="shared" si="99"/>
        <v>1.0388611004232402E-2</v>
      </c>
      <c r="T257" s="319">
        <f t="shared" si="99"/>
        <v>1.0658545869813478E-2</v>
      </c>
      <c r="U257" s="320">
        <f t="shared" si="99"/>
        <v>1.0546139359698684E-2</v>
      </c>
      <c r="V257" s="319">
        <f t="shared" si="99"/>
        <v>1.0436079016026837E-2</v>
      </c>
      <c r="W257" s="319">
        <f t="shared" si="99"/>
        <v>1.0328292143120621E-2</v>
      </c>
      <c r="X257" s="320">
        <f t="shared" si="99"/>
        <v>1.0222709017889742E-2</v>
      </c>
      <c r="Y257" s="319">
        <f t="shared" si="99"/>
        <v>1.0119262739428984E-2</v>
      </c>
      <c r="Z257" s="319">
        <f t="shared" si="99"/>
        <v>1.0017889087656528E-2</v>
      </c>
      <c r="AA257" s="320">
        <f t="shared" si="99"/>
        <v>9.9185263903648589E-3</v>
      </c>
      <c r="AB257" s="319">
        <f t="shared" si="99"/>
        <v>9.8211153981059267E-3</v>
      </c>
      <c r="AC257" s="319">
        <f t="shared" si="99"/>
        <v>9.7255991663772121E-3</v>
      </c>
      <c r="AD257" s="320">
        <f>AD256/AD255</f>
        <v>9.6319229446164417E-3</v>
      </c>
    </row>
    <row r="258" spans="1:30" hidden="1" outlineLevel="1" x14ac:dyDescent="0.3">
      <c r="B258" s="165" t="s">
        <v>91</v>
      </c>
      <c r="G258" s="296">
        <f>G252</f>
        <v>692.14666666666665</v>
      </c>
      <c r="H258" s="297">
        <f t="shared" ref="H258:AC258" si="100">H252</f>
        <v>712.07333333333338</v>
      </c>
      <c r="I258" s="298">
        <f t="shared" si="100"/>
        <v>732</v>
      </c>
      <c r="J258" s="297">
        <f t="shared" si="100"/>
        <v>751.92666666666673</v>
      </c>
      <c r="K258" s="297">
        <f t="shared" si="100"/>
        <v>771.85333333333335</v>
      </c>
      <c r="L258" s="298">
        <f t="shared" si="100"/>
        <v>791.78000000000009</v>
      </c>
      <c r="M258" s="297">
        <f t="shared" si="100"/>
        <v>811.70666666666671</v>
      </c>
      <c r="N258" s="297">
        <f t="shared" si="100"/>
        <v>831.63333333333333</v>
      </c>
      <c r="O258" s="298">
        <f t="shared" si="100"/>
        <v>851.56</v>
      </c>
      <c r="P258" s="297">
        <f t="shared" si="100"/>
        <v>871.48666666666668</v>
      </c>
      <c r="Q258" s="297">
        <f t="shared" si="100"/>
        <v>891.41333333333341</v>
      </c>
      <c r="R258" s="298">
        <f t="shared" si="100"/>
        <v>911.34</v>
      </c>
      <c r="S258" s="297">
        <f t="shared" si="100"/>
        <v>926.18333333333317</v>
      </c>
      <c r="T258" s="297">
        <f t="shared" si="100"/>
        <v>936.09074999999984</v>
      </c>
      <c r="U258" s="298">
        <f t="shared" si="100"/>
        <v>946.14558333333321</v>
      </c>
      <c r="V258" s="297">
        <f t="shared" si="100"/>
        <v>956.20041666666668</v>
      </c>
      <c r="W258" s="297">
        <f t="shared" si="100"/>
        <v>966.25524999999993</v>
      </c>
      <c r="X258" s="298">
        <f t="shared" si="100"/>
        <v>976.3100833333333</v>
      </c>
      <c r="Y258" s="297">
        <f t="shared" si="100"/>
        <v>986.36491666666666</v>
      </c>
      <c r="Z258" s="297">
        <f t="shared" si="100"/>
        <v>996.41975000000002</v>
      </c>
      <c r="AA258" s="298">
        <f t="shared" si="100"/>
        <v>1006.4745833333334</v>
      </c>
      <c r="AB258" s="297">
        <f t="shared" si="100"/>
        <v>1016.5294166666667</v>
      </c>
      <c r="AC258" s="297">
        <f t="shared" si="100"/>
        <v>1026.5842500000001</v>
      </c>
      <c r="AD258" s="298">
        <f>AD252</f>
        <v>1036.6390833333332</v>
      </c>
    </row>
    <row r="259" spans="1:30" hidden="1" outlineLevel="1" x14ac:dyDescent="0.3">
      <c r="B259" s="165" t="s">
        <v>96</v>
      </c>
      <c r="G259" s="296">
        <f>G258/G255</f>
        <v>7.0771642808452624</v>
      </c>
      <c r="H259" s="297">
        <f t="shared" ref="H259:AC259" si="101">H258/H255</f>
        <v>7.0782637508283637</v>
      </c>
      <c r="I259" s="298">
        <f t="shared" si="101"/>
        <v>7.0793036750483562</v>
      </c>
      <c r="J259" s="297">
        <f t="shared" si="101"/>
        <v>7.0802887633396123</v>
      </c>
      <c r="K259" s="297">
        <f t="shared" si="101"/>
        <v>7.081223241590215</v>
      </c>
      <c r="L259" s="298">
        <f t="shared" si="101"/>
        <v>7.082110912343472</v>
      </c>
      <c r="M259" s="297">
        <f t="shared" si="101"/>
        <v>7.0829552065154173</v>
      </c>
      <c r="N259" s="297">
        <f t="shared" si="101"/>
        <v>7.0837592277115284</v>
      </c>
      <c r="O259" s="298">
        <f t="shared" si="101"/>
        <v>7.084525790349419</v>
      </c>
      <c r="P259" s="297">
        <f t="shared" si="101"/>
        <v>7.0852574525745275</v>
      </c>
      <c r="Q259" s="297">
        <f t="shared" si="101"/>
        <v>7.0859565447800765</v>
      </c>
      <c r="R259" s="298">
        <f t="shared" si="101"/>
        <v>7.0866251944012459</v>
      </c>
      <c r="S259" s="297">
        <f t="shared" si="101"/>
        <v>7.1272284211876373</v>
      </c>
      <c r="T259" s="297">
        <f t="shared" si="101"/>
        <v>7.1266901408450707</v>
      </c>
      <c r="U259" s="298">
        <f t="shared" si="101"/>
        <v>7.1272736974262401</v>
      </c>
      <c r="V259" s="297">
        <f t="shared" si="101"/>
        <v>7.1278450739222281</v>
      </c>
      <c r="W259" s="297">
        <f t="shared" si="101"/>
        <v>7.1284046477314646</v>
      </c>
      <c r="X259" s="298">
        <f t="shared" si="101"/>
        <v>7.1289527808202511</v>
      </c>
      <c r="Y259" s="297">
        <f t="shared" si="101"/>
        <v>7.1294898205035544</v>
      </c>
      <c r="Z259" s="297">
        <f t="shared" si="101"/>
        <v>7.1300161001788913</v>
      </c>
      <c r="AA259" s="298">
        <f t="shared" si="101"/>
        <v>7.1305319400165308</v>
      </c>
      <c r="AB259" s="297">
        <f t="shared" si="101"/>
        <v>7.131037647609026</v>
      </c>
      <c r="AC259" s="297">
        <f t="shared" si="101"/>
        <v>7.1315335185828408</v>
      </c>
      <c r="AD259" s="298">
        <f>AD258/AD255</f>
        <v>7.1320198371746342</v>
      </c>
    </row>
    <row r="260" spans="1:30" hidden="1" outlineLevel="1" x14ac:dyDescent="0.3">
      <c r="B260" s="165" t="s">
        <v>97</v>
      </c>
      <c r="G260" s="321">
        <f>G258/G163</f>
        <v>6.3159711834712057E-2</v>
      </c>
      <c r="H260" s="314">
        <f t="shared" ref="H260:AC260" si="102">H258/H163</f>
        <v>6.3556667611125203E-2</v>
      </c>
      <c r="I260" s="322">
        <f t="shared" si="102"/>
        <v>6.3953348979686839E-2</v>
      </c>
      <c r="J260" s="314">
        <f t="shared" si="102"/>
        <v>6.4346851051512735E-2</v>
      </c>
      <c r="K260" s="314">
        <f t="shared" si="102"/>
        <v>6.4734487765144094E-2</v>
      </c>
      <c r="L260" s="322">
        <f t="shared" si="102"/>
        <v>6.5113764965856483E-2</v>
      </c>
      <c r="M260" s="314">
        <f t="shared" si="102"/>
        <v>6.5482359280167143E-2</v>
      </c>
      <c r="N260" s="314">
        <f t="shared" si="102"/>
        <v>6.5838101614059799E-2</v>
      </c>
      <c r="O260" s="322">
        <f t="shared" si="102"/>
        <v>6.6178964353896849E-2</v>
      </c>
      <c r="P260" s="314">
        <f t="shared" si="102"/>
        <v>6.6503051537936161E-2</v>
      </c>
      <c r="Q260" s="314">
        <f t="shared" si="102"/>
        <v>6.6808591410214793E-2</v>
      </c>
      <c r="R260" s="322">
        <f t="shared" si="102"/>
        <v>6.7093930879079527E-2</v>
      </c>
      <c r="S260" s="314">
        <f t="shared" si="102"/>
        <v>6.6674200232256398E-2</v>
      </c>
      <c r="T260" s="314">
        <f t="shared" si="102"/>
        <v>6.5913931027047512E-2</v>
      </c>
      <c r="U260" s="322">
        <f t="shared" si="102"/>
        <v>6.5183560977153943E-2</v>
      </c>
      <c r="V260" s="314">
        <f t="shared" si="102"/>
        <v>6.4469742668256946E-2</v>
      </c>
      <c r="W260" s="314">
        <f t="shared" si="102"/>
        <v>6.3770047844971769E-2</v>
      </c>
      <c r="X260" s="322">
        <f t="shared" si="102"/>
        <v>6.3082321689772528E-2</v>
      </c>
      <c r="Y260" s="314">
        <f t="shared" si="102"/>
        <v>6.240465394951436E-2</v>
      </c>
      <c r="Z260" s="314">
        <f t="shared" si="102"/>
        <v>6.1735353892423989E-2</v>
      </c>
      <c r="AA260" s="322">
        <f t="shared" si="102"/>
        <v>6.1072928468297163E-2</v>
      </c>
      <c r="AB260" s="314">
        <f t="shared" si="102"/>
        <v>6.0416063157477731E-2</v>
      </c>
      <c r="AC260" s="314">
        <f t="shared" si="102"/>
        <v>5.9763605085211426E-2</v>
      </c>
      <c r="AD260" s="322">
        <f>AD258/AD163</f>
        <v>5.9114548051768183E-2</v>
      </c>
    </row>
    <row r="261" spans="1:30" hidden="1" outlineLevel="1" x14ac:dyDescent="0.3"/>
    <row r="262" spans="1:30" hidden="1" outlineLevel="1" x14ac:dyDescent="0.3">
      <c r="B262" s="172" t="s">
        <v>146</v>
      </c>
    </row>
    <row r="263" spans="1:30" hidden="1" outlineLevel="1" x14ac:dyDescent="0.3">
      <c r="B263" s="165" t="s">
        <v>323</v>
      </c>
      <c r="G263" s="289">
        <f>IF((G216+G223+G230+G237+G244)=G252,0,1)</f>
        <v>0</v>
      </c>
      <c r="H263" s="289">
        <f t="shared" ref="H263:AD263" si="103">IF((H216+H223+H230+H237+H244)=H252,0,1)</f>
        <v>0</v>
      </c>
      <c r="I263" s="289">
        <f t="shared" si="103"/>
        <v>0</v>
      </c>
      <c r="J263" s="289">
        <f t="shared" si="103"/>
        <v>0</v>
      </c>
      <c r="K263" s="289">
        <f t="shared" si="103"/>
        <v>0</v>
      </c>
      <c r="L263" s="289">
        <f t="shared" si="103"/>
        <v>0</v>
      </c>
      <c r="M263" s="289">
        <f t="shared" si="103"/>
        <v>0</v>
      </c>
      <c r="N263" s="289">
        <f t="shared" si="103"/>
        <v>0</v>
      </c>
      <c r="O263" s="289">
        <f t="shared" si="103"/>
        <v>0</v>
      </c>
      <c r="P263" s="289">
        <f t="shared" si="103"/>
        <v>0</v>
      </c>
      <c r="Q263" s="289">
        <f t="shared" si="103"/>
        <v>0</v>
      </c>
      <c r="R263" s="289">
        <f t="shared" si="103"/>
        <v>0</v>
      </c>
      <c r="S263" s="289">
        <f t="shared" si="103"/>
        <v>0</v>
      </c>
      <c r="T263" s="289">
        <f t="shared" si="103"/>
        <v>0</v>
      </c>
      <c r="U263" s="289">
        <f t="shared" si="103"/>
        <v>0</v>
      </c>
      <c r="V263" s="289">
        <f t="shared" si="103"/>
        <v>0</v>
      </c>
      <c r="W263" s="289">
        <f t="shared" si="103"/>
        <v>0</v>
      </c>
      <c r="X263" s="289">
        <f t="shared" si="103"/>
        <v>0</v>
      </c>
      <c r="Y263" s="289">
        <f t="shared" si="103"/>
        <v>0</v>
      </c>
      <c r="Z263" s="289">
        <f t="shared" si="103"/>
        <v>0</v>
      </c>
      <c r="AA263" s="289">
        <f t="shared" si="103"/>
        <v>0</v>
      </c>
      <c r="AB263" s="289">
        <f t="shared" si="103"/>
        <v>0</v>
      </c>
      <c r="AC263" s="289">
        <f t="shared" si="103"/>
        <v>0</v>
      </c>
      <c r="AD263" s="289">
        <f t="shared" si="103"/>
        <v>0</v>
      </c>
    </row>
    <row r="264" spans="1:30" hidden="1" outlineLevel="1" x14ac:dyDescent="0.3">
      <c r="B264" s="165" t="s">
        <v>98</v>
      </c>
      <c r="G264" s="289">
        <f>IF((G182+G187+G192+G197+G202)=G207,0,1)</f>
        <v>0</v>
      </c>
      <c r="H264" s="289">
        <f t="shared" ref="H264:AD264" si="104">IF((H182+H187+H192+H197+H202)=H207,0,1)</f>
        <v>0</v>
      </c>
      <c r="I264" s="289">
        <f t="shared" si="104"/>
        <v>0</v>
      </c>
      <c r="J264" s="289">
        <f t="shared" si="104"/>
        <v>0</v>
      </c>
      <c r="K264" s="289">
        <f t="shared" si="104"/>
        <v>0</v>
      </c>
      <c r="L264" s="289">
        <f t="shared" si="104"/>
        <v>0</v>
      </c>
      <c r="M264" s="289">
        <f t="shared" si="104"/>
        <v>0</v>
      </c>
      <c r="N264" s="289">
        <f t="shared" si="104"/>
        <v>0</v>
      </c>
      <c r="O264" s="289">
        <f t="shared" si="104"/>
        <v>0</v>
      </c>
      <c r="P264" s="289">
        <f t="shared" si="104"/>
        <v>0</v>
      </c>
      <c r="Q264" s="289">
        <f t="shared" si="104"/>
        <v>0</v>
      </c>
      <c r="R264" s="289">
        <f t="shared" si="104"/>
        <v>0</v>
      </c>
      <c r="S264" s="289">
        <f t="shared" si="104"/>
        <v>0</v>
      </c>
      <c r="T264" s="289">
        <f t="shared" si="104"/>
        <v>0</v>
      </c>
      <c r="U264" s="289">
        <f t="shared" si="104"/>
        <v>0</v>
      </c>
      <c r="V264" s="289">
        <f t="shared" si="104"/>
        <v>0</v>
      </c>
      <c r="W264" s="289">
        <f t="shared" si="104"/>
        <v>0</v>
      </c>
      <c r="X264" s="289">
        <f t="shared" si="104"/>
        <v>0</v>
      </c>
      <c r="Y264" s="289">
        <f t="shared" si="104"/>
        <v>0</v>
      </c>
      <c r="Z264" s="289">
        <f t="shared" si="104"/>
        <v>0</v>
      </c>
      <c r="AA264" s="289">
        <f t="shared" si="104"/>
        <v>0</v>
      </c>
      <c r="AB264" s="289">
        <f t="shared" si="104"/>
        <v>0</v>
      </c>
      <c r="AC264" s="289">
        <f t="shared" si="104"/>
        <v>0</v>
      </c>
      <c r="AD264" s="289">
        <f t="shared" si="104"/>
        <v>0</v>
      </c>
    </row>
    <row r="265" spans="1:30" hidden="1" outlineLevel="1" x14ac:dyDescent="0.3"/>
    <row r="266" spans="1:30" hidden="1" outlineLevel="1" x14ac:dyDescent="0.3"/>
    <row r="267" spans="1:30" collapsed="1" x14ac:dyDescent="0.3"/>
    <row r="268" spans="1:30" ht="21" x14ac:dyDescent="0.3">
      <c r="A268" s="149" t="s">
        <v>33</v>
      </c>
      <c r="B268" s="152" t="s">
        <v>211</v>
      </c>
      <c r="C268" s="153"/>
      <c r="D268" s="153"/>
      <c r="E268" s="153"/>
      <c r="F268" s="153"/>
      <c r="G268" s="153"/>
      <c r="H268" s="153"/>
      <c r="I268" s="153"/>
      <c r="J268" s="153"/>
      <c r="K268" s="153"/>
      <c r="L268" s="153"/>
      <c r="M268" s="153"/>
      <c r="N268" s="153"/>
      <c r="O268" s="153"/>
      <c r="P268" s="153"/>
      <c r="Q268" s="153"/>
      <c r="R268" s="153"/>
      <c r="S268" s="153"/>
      <c r="T268" s="153"/>
      <c r="U268" s="153"/>
      <c r="V268" s="153"/>
      <c r="W268" s="153"/>
      <c r="X268" s="153"/>
      <c r="Y268" s="153"/>
      <c r="Z268" s="153"/>
      <c r="AA268" s="153"/>
      <c r="AB268" s="153"/>
      <c r="AC268" s="153"/>
      <c r="AD268" s="153"/>
    </row>
    <row r="269" spans="1:30" hidden="1" outlineLevel="1" x14ac:dyDescent="0.3"/>
    <row r="270" spans="1:30" hidden="1" outlineLevel="1" x14ac:dyDescent="0.3">
      <c r="B270" s="155" t="s">
        <v>24</v>
      </c>
      <c r="G270" s="156">
        <f>G$5</f>
        <v>2026</v>
      </c>
      <c r="H270" s="157">
        <f t="shared" ref="H270:AD270" si="105">H$5</f>
        <v>2026</v>
      </c>
      <c r="I270" s="158">
        <f t="shared" si="105"/>
        <v>2026</v>
      </c>
      <c r="J270" s="157">
        <f t="shared" si="105"/>
        <v>2026</v>
      </c>
      <c r="K270" s="157">
        <f t="shared" si="105"/>
        <v>2026</v>
      </c>
      <c r="L270" s="158">
        <f t="shared" si="105"/>
        <v>2026</v>
      </c>
      <c r="M270" s="157">
        <f t="shared" si="105"/>
        <v>2026</v>
      </c>
      <c r="N270" s="157">
        <f t="shared" si="105"/>
        <v>2026</v>
      </c>
      <c r="O270" s="158">
        <f t="shared" si="105"/>
        <v>2026</v>
      </c>
      <c r="P270" s="157">
        <f t="shared" si="105"/>
        <v>2026</v>
      </c>
      <c r="Q270" s="157">
        <f t="shared" si="105"/>
        <v>2026</v>
      </c>
      <c r="R270" s="159">
        <f t="shared" si="105"/>
        <v>2026</v>
      </c>
      <c r="S270" s="157">
        <f t="shared" si="105"/>
        <v>2027</v>
      </c>
      <c r="T270" s="157">
        <f t="shared" si="105"/>
        <v>2027</v>
      </c>
      <c r="U270" s="158">
        <f t="shared" si="105"/>
        <v>2027</v>
      </c>
      <c r="V270" s="157">
        <f t="shared" si="105"/>
        <v>2027</v>
      </c>
      <c r="W270" s="157">
        <f t="shared" si="105"/>
        <v>2027</v>
      </c>
      <c r="X270" s="158">
        <f t="shared" si="105"/>
        <v>2027</v>
      </c>
      <c r="Y270" s="157">
        <f t="shared" si="105"/>
        <v>2027</v>
      </c>
      <c r="Z270" s="157">
        <f t="shared" si="105"/>
        <v>2027</v>
      </c>
      <c r="AA270" s="158">
        <f t="shared" si="105"/>
        <v>2027</v>
      </c>
      <c r="AB270" s="157">
        <f t="shared" si="105"/>
        <v>2027</v>
      </c>
      <c r="AC270" s="157">
        <f t="shared" si="105"/>
        <v>2027</v>
      </c>
      <c r="AD270" s="159">
        <f t="shared" si="105"/>
        <v>2027</v>
      </c>
    </row>
    <row r="271" spans="1:30" hidden="1" outlineLevel="1" x14ac:dyDescent="0.3">
      <c r="B271" s="155" t="str" cm="1">
        <f t="array" ref="B271">CONCATENATE("Model Running: ",INDEX(Inputs!$B$15:$B$17,Inputs!$D$8)," Drivers")</f>
        <v>Model Running: Base Case Drivers</v>
      </c>
      <c r="G271" s="161">
        <f>G$6</f>
        <v>1</v>
      </c>
      <c r="H271" s="162">
        <f t="shared" ref="H271:AD271" si="106">H$6</f>
        <v>1</v>
      </c>
      <c r="I271" s="163">
        <f t="shared" si="106"/>
        <v>1</v>
      </c>
      <c r="J271" s="162">
        <f t="shared" si="106"/>
        <v>2</v>
      </c>
      <c r="K271" s="162">
        <f t="shared" si="106"/>
        <v>2</v>
      </c>
      <c r="L271" s="163">
        <f t="shared" si="106"/>
        <v>2</v>
      </c>
      <c r="M271" s="162">
        <f t="shared" si="106"/>
        <v>3</v>
      </c>
      <c r="N271" s="162">
        <f t="shared" si="106"/>
        <v>3</v>
      </c>
      <c r="O271" s="163">
        <f t="shared" si="106"/>
        <v>3</v>
      </c>
      <c r="P271" s="162">
        <f t="shared" si="106"/>
        <v>4</v>
      </c>
      <c r="Q271" s="162">
        <f t="shared" si="106"/>
        <v>4</v>
      </c>
      <c r="R271" s="164">
        <f t="shared" si="106"/>
        <v>4</v>
      </c>
      <c r="S271" s="162">
        <f t="shared" si="106"/>
        <v>1</v>
      </c>
      <c r="T271" s="162">
        <f t="shared" si="106"/>
        <v>1</v>
      </c>
      <c r="U271" s="163">
        <f t="shared" si="106"/>
        <v>1</v>
      </c>
      <c r="V271" s="162">
        <f t="shared" si="106"/>
        <v>2</v>
      </c>
      <c r="W271" s="162">
        <f t="shared" si="106"/>
        <v>2</v>
      </c>
      <c r="X271" s="163">
        <f t="shared" si="106"/>
        <v>2</v>
      </c>
      <c r="Y271" s="162">
        <f t="shared" si="106"/>
        <v>3</v>
      </c>
      <c r="Z271" s="162">
        <f t="shared" si="106"/>
        <v>3</v>
      </c>
      <c r="AA271" s="163">
        <f t="shared" si="106"/>
        <v>3</v>
      </c>
      <c r="AB271" s="162">
        <f t="shared" si="106"/>
        <v>4</v>
      </c>
      <c r="AC271" s="162">
        <f t="shared" si="106"/>
        <v>4</v>
      </c>
      <c r="AD271" s="164">
        <f t="shared" si="106"/>
        <v>4</v>
      </c>
    </row>
    <row r="272" spans="1:30" hidden="1" outlineLevel="1" x14ac:dyDescent="0.3">
      <c r="G272" s="166">
        <f>G$7</f>
        <v>46053</v>
      </c>
      <c r="H272" s="167">
        <f t="shared" ref="H272:AD272" si="107">H$7</f>
        <v>46081</v>
      </c>
      <c r="I272" s="168">
        <f t="shared" si="107"/>
        <v>46112</v>
      </c>
      <c r="J272" s="167">
        <f t="shared" si="107"/>
        <v>46142</v>
      </c>
      <c r="K272" s="167">
        <f t="shared" si="107"/>
        <v>46173</v>
      </c>
      <c r="L272" s="168">
        <f t="shared" si="107"/>
        <v>46203</v>
      </c>
      <c r="M272" s="167">
        <f t="shared" si="107"/>
        <v>46234</v>
      </c>
      <c r="N272" s="167">
        <f t="shared" si="107"/>
        <v>46265</v>
      </c>
      <c r="O272" s="168">
        <f t="shared" si="107"/>
        <v>46295</v>
      </c>
      <c r="P272" s="167">
        <f t="shared" si="107"/>
        <v>46326</v>
      </c>
      <c r="Q272" s="167">
        <f t="shared" si="107"/>
        <v>46356</v>
      </c>
      <c r="R272" s="169">
        <f t="shared" si="107"/>
        <v>46387</v>
      </c>
      <c r="S272" s="167">
        <f t="shared" si="107"/>
        <v>46418</v>
      </c>
      <c r="T272" s="167">
        <f t="shared" si="107"/>
        <v>46446</v>
      </c>
      <c r="U272" s="168">
        <f t="shared" si="107"/>
        <v>46477</v>
      </c>
      <c r="V272" s="167">
        <f t="shared" si="107"/>
        <v>46507</v>
      </c>
      <c r="W272" s="167">
        <f t="shared" si="107"/>
        <v>46538</v>
      </c>
      <c r="X272" s="168">
        <f t="shared" si="107"/>
        <v>46568</v>
      </c>
      <c r="Y272" s="167">
        <f t="shared" si="107"/>
        <v>46599</v>
      </c>
      <c r="Z272" s="167">
        <f t="shared" si="107"/>
        <v>46630</v>
      </c>
      <c r="AA272" s="168">
        <f t="shared" si="107"/>
        <v>46660</v>
      </c>
      <c r="AB272" s="167">
        <f t="shared" si="107"/>
        <v>46691</v>
      </c>
      <c r="AC272" s="167">
        <f t="shared" si="107"/>
        <v>46721</v>
      </c>
      <c r="AD272" s="169">
        <f t="shared" si="107"/>
        <v>46752</v>
      </c>
    </row>
    <row r="273" spans="1:30" hidden="1" outlineLevel="1" x14ac:dyDescent="0.3"/>
    <row r="274" spans="1:30" hidden="1" outlineLevel="1" x14ac:dyDescent="0.3"/>
    <row r="275" spans="1:30" hidden="1" outlineLevel="1" x14ac:dyDescent="0.3">
      <c r="B275" s="192" t="s">
        <v>10</v>
      </c>
      <c r="G275" s="323">
        <f>G$163</f>
        <v>10958.6736</v>
      </c>
      <c r="H275" s="324">
        <f t="shared" ref="H275:AD275" si="108">H$163</f>
        <v>11203.755012616321</v>
      </c>
      <c r="I275" s="325">
        <f t="shared" si="108"/>
        <v>11445.843129067427</v>
      </c>
      <c r="J275" s="324">
        <f t="shared" si="108"/>
        <v>11685.523912657565</v>
      </c>
      <c r="K275" s="324">
        <f t="shared" si="108"/>
        <v>11923.371296821064</v>
      </c>
      <c r="L275" s="325">
        <f t="shared" si="108"/>
        <v>12159.948060370698</v>
      </c>
      <c r="M275" s="324">
        <f t="shared" si="108"/>
        <v>12395.806681212705</v>
      </c>
      <c r="N275" s="324">
        <f t="shared" si="108"/>
        <v>12631.490169755094</v>
      </c>
      <c r="O275" s="325">
        <f t="shared" si="108"/>
        <v>12867.532883201688</v>
      </c>
      <c r="P275" s="324">
        <f t="shared" si="108"/>
        <v>13104.461321891878</v>
      </c>
      <c r="Q275" s="324">
        <f t="shared" si="108"/>
        <v>13342.794908815267</v>
      </c>
      <c r="R275" s="325">
        <f t="shared" si="108"/>
        <v>13583.046753401115</v>
      </c>
      <c r="S275" s="324">
        <f t="shared" si="108"/>
        <v>13891.180248237215</v>
      </c>
      <c r="T275" s="324">
        <f t="shared" si="108"/>
        <v>14201.713286010492</v>
      </c>
      <c r="U275" s="325">
        <f t="shared" si="108"/>
        <v>14515.095050805003</v>
      </c>
      <c r="V275" s="324">
        <f t="shared" si="108"/>
        <v>14831.770332743587</v>
      </c>
      <c r="W275" s="324">
        <f t="shared" si="108"/>
        <v>15152.180101056463</v>
      </c>
      <c r="X275" s="325">
        <f t="shared" si="108"/>
        <v>15476.762065522098</v>
      </c>
      <c r="Y275" s="324">
        <f t="shared" si="108"/>
        <v>15805.951227045345</v>
      </c>
      <c r="Z275" s="324">
        <f t="shared" si="108"/>
        <v>16140.180418116599</v>
      </c>
      <c r="AA275" s="325">
        <f t="shared" si="108"/>
        <v>16479.880833875395</v>
      </c>
      <c r="AB275" s="324">
        <f t="shared" si="108"/>
        <v>16825.482554482704</v>
      </c>
      <c r="AC275" s="324">
        <f t="shared" si="108"/>
        <v>17177.415059487928</v>
      </c>
      <c r="AD275" s="325">
        <f t="shared" si="108"/>
        <v>17536.107734859459</v>
      </c>
    </row>
    <row r="276" spans="1:30" hidden="1" outlineLevel="1" x14ac:dyDescent="0.3">
      <c r="B276" s="192"/>
      <c r="G276" s="297"/>
      <c r="H276" s="297"/>
      <c r="I276" s="297"/>
      <c r="J276" s="297"/>
      <c r="K276" s="297"/>
      <c r="L276" s="297"/>
      <c r="M276" s="297"/>
      <c r="N276" s="297"/>
      <c r="O276" s="297"/>
      <c r="P276" s="297"/>
      <c r="Q276" s="297"/>
      <c r="R276" s="297"/>
      <c r="S276" s="297"/>
      <c r="T276" s="297"/>
      <c r="U276" s="297"/>
      <c r="V276" s="297"/>
      <c r="W276" s="297"/>
      <c r="X276" s="297"/>
      <c r="Y276" s="297"/>
      <c r="Z276" s="297"/>
      <c r="AA276" s="297"/>
      <c r="AB276" s="297"/>
      <c r="AC276" s="297"/>
      <c r="AD276" s="297"/>
    </row>
    <row r="277" spans="1:30" hidden="1" outlineLevel="1" x14ac:dyDescent="0.3"/>
    <row r="278" spans="1:30" hidden="1" outlineLevel="1" x14ac:dyDescent="0.3">
      <c r="B278" s="172" t="s">
        <v>213</v>
      </c>
    </row>
    <row r="279" spans="1:30" hidden="1" outlineLevel="1" x14ac:dyDescent="0.3">
      <c r="B279" s="174" t="s">
        <v>212</v>
      </c>
      <c r="G279" s="196">
        <f>G249</f>
        <v>89.924166666666665</v>
      </c>
      <c r="H279" s="196">
        <f t="shared" ref="H279:AD279" si="109">H249</f>
        <v>92.872500000000002</v>
      </c>
      <c r="I279" s="196">
        <f t="shared" si="109"/>
        <v>95.820833333333326</v>
      </c>
      <c r="J279" s="196">
        <f t="shared" si="109"/>
        <v>98.769166666666663</v>
      </c>
      <c r="K279" s="196">
        <f t="shared" si="109"/>
        <v>101.7175</v>
      </c>
      <c r="L279" s="196">
        <f t="shared" si="109"/>
        <v>104.66583333333332</v>
      </c>
      <c r="M279" s="196">
        <f t="shared" si="109"/>
        <v>107.61416666666666</v>
      </c>
      <c r="N279" s="196">
        <f t="shared" si="109"/>
        <v>110.5625</v>
      </c>
      <c r="O279" s="196">
        <f t="shared" si="109"/>
        <v>113.51083333333332</v>
      </c>
      <c r="P279" s="196">
        <f t="shared" si="109"/>
        <v>116.45916666666666</v>
      </c>
      <c r="Q279" s="196">
        <f t="shared" si="109"/>
        <v>119.4075</v>
      </c>
      <c r="R279" s="196">
        <f t="shared" si="109"/>
        <v>122.35583333333332</v>
      </c>
      <c r="S279" s="196">
        <f t="shared" si="109"/>
        <v>124.56708333333331</v>
      </c>
      <c r="T279" s="196">
        <f t="shared" si="109"/>
        <v>126.18866666666665</v>
      </c>
      <c r="U279" s="196">
        <f t="shared" si="109"/>
        <v>127.95766666666667</v>
      </c>
      <c r="V279" s="196">
        <f t="shared" si="109"/>
        <v>129.72666666666666</v>
      </c>
      <c r="W279" s="196">
        <f t="shared" si="109"/>
        <v>131.49566666666666</v>
      </c>
      <c r="X279" s="196">
        <f t="shared" si="109"/>
        <v>133.26466666666667</v>
      </c>
      <c r="Y279" s="196">
        <f t="shared" si="109"/>
        <v>135.03366666666668</v>
      </c>
      <c r="Z279" s="196">
        <f t="shared" si="109"/>
        <v>136.80266666666668</v>
      </c>
      <c r="AA279" s="196">
        <f t="shared" si="109"/>
        <v>138.57166666666669</v>
      </c>
      <c r="AB279" s="196">
        <f t="shared" si="109"/>
        <v>140.34066666666669</v>
      </c>
      <c r="AC279" s="196">
        <f t="shared" si="109"/>
        <v>142.1096666666667</v>
      </c>
      <c r="AD279" s="196">
        <f t="shared" si="109"/>
        <v>143.87866666666667</v>
      </c>
    </row>
    <row r="280" spans="1:30" hidden="1" outlineLevel="1" x14ac:dyDescent="0.3">
      <c r="B280" s="165" t="s">
        <v>205</v>
      </c>
      <c r="G280" s="196">
        <f>G275*Inputs!F83/Inputs!$E$207</f>
        <v>45.661139999999996</v>
      </c>
      <c r="H280" s="196">
        <f>H275*Inputs!G83/Inputs!$E$207</f>
        <v>46.682312552568</v>
      </c>
      <c r="I280" s="196">
        <f>I275*Inputs!H83/Inputs!$E$207</f>
        <v>47.691013037780948</v>
      </c>
      <c r="J280" s="196">
        <f>J275*Inputs!I83/Inputs!$E$207</f>
        <v>48.689682969406526</v>
      </c>
      <c r="K280" s="196">
        <f>K275*Inputs!J83/Inputs!$E$207</f>
        <v>49.680713736754434</v>
      </c>
      <c r="L280" s="196">
        <f>L275*Inputs!K83/Inputs!$E$207</f>
        <v>50.666450251544575</v>
      </c>
      <c r="M280" s="196">
        <f>M275*Inputs!L83/Inputs!$E$207</f>
        <v>51.649194505052947</v>
      </c>
      <c r="N280" s="196">
        <f>N275*Inputs!M83/Inputs!$E$207</f>
        <v>52.631209040646233</v>
      </c>
      <c r="O280" s="196">
        <f>O275*Inputs!N83/Inputs!$E$207</f>
        <v>53.6147203466737</v>
      </c>
      <c r="P280" s="196">
        <f>P275*Inputs!O83/Inputs!$E$207</f>
        <v>54.601922174549493</v>
      </c>
      <c r="Q280" s="196">
        <f>Q275*Inputs!P83/Inputs!$E$207</f>
        <v>55.59497878673028</v>
      </c>
      <c r="R280" s="196">
        <f>R275*Inputs!Q83/Inputs!$E$207</f>
        <v>56.596028139171317</v>
      </c>
      <c r="S280" s="196">
        <f>S275*Inputs!R83/Inputs!$E$207</f>
        <v>57.879917700988393</v>
      </c>
      <c r="T280" s="196">
        <f>T275*Inputs!S83/Inputs!$E$207</f>
        <v>59.173805358377052</v>
      </c>
      <c r="U280" s="196">
        <f>U275*Inputs!T83/Inputs!$E$207</f>
        <v>60.479562711687514</v>
      </c>
      <c r="V280" s="196">
        <f>V275*Inputs!U83/Inputs!$E$207</f>
        <v>61.799043053098281</v>
      </c>
      <c r="W280" s="196">
        <f>W275*Inputs!V83/Inputs!$E$207</f>
        <v>63.134083754401935</v>
      </c>
      <c r="X280" s="196">
        <f>X275*Inputs!W83/Inputs!$E$207</f>
        <v>64.48650860634207</v>
      </c>
      <c r="Y280" s="196">
        <f>Y275*Inputs!X83/Inputs!$E$207</f>
        <v>65.85813011268894</v>
      </c>
      <c r="Z280" s="196">
        <f>Z275*Inputs!Y83/Inputs!$E$207</f>
        <v>67.250751742152502</v>
      </c>
      <c r="AA280" s="196">
        <f>AA275*Inputs!Z83/Inputs!$E$207</f>
        <v>68.666170141147475</v>
      </c>
      <c r="AB280" s="196">
        <f>AB275*Inputs!AA83/Inputs!$E$207</f>
        <v>70.106177310344606</v>
      </c>
      <c r="AC280" s="196">
        <f>AC275*Inputs!AB83/Inputs!$E$207</f>
        <v>71.572562747866371</v>
      </c>
      <c r="AD280" s="196">
        <f>AD275*Inputs!AC83/Inputs!$E$207</f>
        <v>73.06711556191442</v>
      </c>
    </row>
    <row r="281" spans="1:30" hidden="1" outlineLevel="1" x14ac:dyDescent="0.3">
      <c r="B281" s="165" t="s">
        <v>214</v>
      </c>
      <c r="G281" s="292">
        <f>SUM(G279:G280)</f>
        <v>135.58530666666667</v>
      </c>
      <c r="H281" s="292">
        <f t="shared" ref="H281:AD281" si="110">SUM(H279:H280)</f>
        <v>139.55481255256799</v>
      </c>
      <c r="I281" s="292">
        <f t="shared" si="110"/>
        <v>143.51184637111427</v>
      </c>
      <c r="J281" s="292">
        <f t="shared" si="110"/>
        <v>147.45884963607318</v>
      </c>
      <c r="K281" s="292">
        <f t="shared" si="110"/>
        <v>151.39821373675443</v>
      </c>
      <c r="L281" s="292">
        <f t="shared" si="110"/>
        <v>155.3322835848779</v>
      </c>
      <c r="M281" s="292">
        <f t="shared" si="110"/>
        <v>159.26336117171962</v>
      </c>
      <c r="N281" s="292">
        <f t="shared" si="110"/>
        <v>163.19370904064624</v>
      </c>
      <c r="O281" s="292">
        <f t="shared" si="110"/>
        <v>167.12555368000702</v>
      </c>
      <c r="P281" s="292">
        <f t="shared" si="110"/>
        <v>171.06108884121616</v>
      </c>
      <c r="Q281" s="292">
        <f t="shared" si="110"/>
        <v>175.00247878673028</v>
      </c>
      <c r="R281" s="292">
        <f t="shared" si="110"/>
        <v>178.95186147250465</v>
      </c>
      <c r="S281" s="292">
        <f t="shared" si="110"/>
        <v>182.44700103432172</v>
      </c>
      <c r="T281" s="292">
        <f t="shared" si="110"/>
        <v>185.3624720250437</v>
      </c>
      <c r="U281" s="292">
        <f t="shared" si="110"/>
        <v>188.43722937835417</v>
      </c>
      <c r="V281" s="292">
        <f t="shared" si="110"/>
        <v>191.52570971976493</v>
      </c>
      <c r="W281" s="292">
        <f t="shared" si="110"/>
        <v>194.62975042106859</v>
      </c>
      <c r="X281" s="292">
        <f t="shared" si="110"/>
        <v>197.75117527300876</v>
      </c>
      <c r="Y281" s="292">
        <f t="shared" si="110"/>
        <v>200.89179677935562</v>
      </c>
      <c r="Z281" s="292">
        <f t="shared" si="110"/>
        <v>204.0534184088192</v>
      </c>
      <c r="AA281" s="292">
        <f t="shared" si="110"/>
        <v>207.23783680781418</v>
      </c>
      <c r="AB281" s="292">
        <f t="shared" si="110"/>
        <v>210.4468439770113</v>
      </c>
      <c r="AC281" s="292">
        <f t="shared" si="110"/>
        <v>213.68222941453308</v>
      </c>
      <c r="AD281" s="292">
        <f t="shared" si="110"/>
        <v>216.94578222858109</v>
      </c>
    </row>
    <row r="282" spans="1:30" hidden="1" outlineLevel="1" x14ac:dyDescent="0.3">
      <c r="B282" s="165"/>
    </row>
    <row r="283" spans="1:30" hidden="1" outlineLevel="1" x14ac:dyDescent="0.3">
      <c r="B283" s="165"/>
    </row>
    <row r="284" spans="1:30" collapsed="1" x14ac:dyDescent="0.3">
      <c r="B284" s="165"/>
    </row>
    <row r="285" spans="1:30" ht="21" x14ac:dyDescent="0.3">
      <c r="A285" s="149" t="s">
        <v>33</v>
      </c>
      <c r="B285" s="152" t="s">
        <v>108</v>
      </c>
      <c r="C285" s="153"/>
      <c r="D285" s="153"/>
      <c r="E285" s="153"/>
      <c r="F285" s="153"/>
      <c r="G285" s="153"/>
      <c r="H285" s="153"/>
      <c r="I285" s="153"/>
      <c r="J285" s="153"/>
      <c r="K285" s="153"/>
      <c r="L285" s="153"/>
      <c r="M285" s="153"/>
      <c r="N285" s="153"/>
      <c r="O285" s="153"/>
      <c r="P285" s="153"/>
      <c r="Q285" s="153"/>
      <c r="R285" s="153"/>
      <c r="S285" s="153"/>
      <c r="T285" s="153"/>
      <c r="U285" s="153"/>
      <c r="V285" s="153"/>
      <c r="W285" s="153"/>
      <c r="X285" s="153"/>
      <c r="Y285" s="153"/>
      <c r="Z285" s="153"/>
      <c r="AA285" s="153"/>
      <c r="AB285" s="153"/>
      <c r="AC285" s="153"/>
      <c r="AD285" s="153"/>
    </row>
    <row r="286" spans="1:30" hidden="1" outlineLevel="1" x14ac:dyDescent="0.3">
      <c r="B286" s="172"/>
    </row>
    <row r="287" spans="1:30" hidden="1" outlineLevel="1" x14ac:dyDescent="0.3">
      <c r="B287" s="155" t="s">
        <v>24</v>
      </c>
      <c r="G287" s="156">
        <f>G$5</f>
        <v>2026</v>
      </c>
      <c r="H287" s="157">
        <f t="shared" ref="H287:AD287" si="111">H$5</f>
        <v>2026</v>
      </c>
      <c r="I287" s="158">
        <f t="shared" si="111"/>
        <v>2026</v>
      </c>
      <c r="J287" s="157">
        <f t="shared" si="111"/>
        <v>2026</v>
      </c>
      <c r="K287" s="157">
        <f t="shared" si="111"/>
        <v>2026</v>
      </c>
      <c r="L287" s="158">
        <f t="shared" si="111"/>
        <v>2026</v>
      </c>
      <c r="M287" s="157">
        <f t="shared" si="111"/>
        <v>2026</v>
      </c>
      <c r="N287" s="157">
        <f t="shared" si="111"/>
        <v>2026</v>
      </c>
      <c r="O287" s="158">
        <f t="shared" si="111"/>
        <v>2026</v>
      </c>
      <c r="P287" s="157">
        <f t="shared" si="111"/>
        <v>2026</v>
      </c>
      <c r="Q287" s="157">
        <f t="shared" si="111"/>
        <v>2026</v>
      </c>
      <c r="R287" s="159">
        <f t="shared" si="111"/>
        <v>2026</v>
      </c>
      <c r="S287" s="157">
        <f t="shared" si="111"/>
        <v>2027</v>
      </c>
      <c r="T287" s="157">
        <f t="shared" si="111"/>
        <v>2027</v>
      </c>
      <c r="U287" s="158">
        <f t="shared" si="111"/>
        <v>2027</v>
      </c>
      <c r="V287" s="157">
        <f t="shared" si="111"/>
        <v>2027</v>
      </c>
      <c r="W287" s="157">
        <f t="shared" si="111"/>
        <v>2027</v>
      </c>
      <c r="X287" s="158">
        <f t="shared" si="111"/>
        <v>2027</v>
      </c>
      <c r="Y287" s="157">
        <f t="shared" si="111"/>
        <v>2027</v>
      </c>
      <c r="Z287" s="157">
        <f t="shared" si="111"/>
        <v>2027</v>
      </c>
      <c r="AA287" s="158">
        <f t="shared" si="111"/>
        <v>2027</v>
      </c>
      <c r="AB287" s="157">
        <f t="shared" si="111"/>
        <v>2027</v>
      </c>
      <c r="AC287" s="157">
        <f t="shared" si="111"/>
        <v>2027</v>
      </c>
      <c r="AD287" s="159">
        <f t="shared" si="111"/>
        <v>2027</v>
      </c>
    </row>
    <row r="288" spans="1:30" hidden="1" outlineLevel="1" x14ac:dyDescent="0.3">
      <c r="B288" s="155" t="str" cm="1">
        <f t="array" ref="B288">CONCATENATE("Model Running: ",INDEX(Inputs!$B$15:$B$17,Inputs!$D$8)," Drivers")</f>
        <v>Model Running: Base Case Drivers</v>
      </c>
      <c r="G288" s="161">
        <f>G$6</f>
        <v>1</v>
      </c>
      <c r="H288" s="162">
        <f t="shared" ref="H288:AD288" si="112">H$6</f>
        <v>1</v>
      </c>
      <c r="I288" s="163">
        <f t="shared" si="112"/>
        <v>1</v>
      </c>
      <c r="J288" s="162">
        <f t="shared" si="112"/>
        <v>2</v>
      </c>
      <c r="K288" s="162">
        <f t="shared" si="112"/>
        <v>2</v>
      </c>
      <c r="L288" s="163">
        <f t="shared" si="112"/>
        <v>2</v>
      </c>
      <c r="M288" s="162">
        <f t="shared" si="112"/>
        <v>3</v>
      </c>
      <c r="N288" s="162">
        <f t="shared" si="112"/>
        <v>3</v>
      </c>
      <c r="O288" s="163">
        <f t="shared" si="112"/>
        <v>3</v>
      </c>
      <c r="P288" s="162">
        <f t="shared" si="112"/>
        <v>4</v>
      </c>
      <c r="Q288" s="162">
        <f t="shared" si="112"/>
        <v>4</v>
      </c>
      <c r="R288" s="164">
        <f t="shared" si="112"/>
        <v>4</v>
      </c>
      <c r="S288" s="162">
        <f t="shared" si="112"/>
        <v>1</v>
      </c>
      <c r="T288" s="162">
        <f t="shared" si="112"/>
        <v>1</v>
      </c>
      <c r="U288" s="163">
        <f t="shared" si="112"/>
        <v>1</v>
      </c>
      <c r="V288" s="162">
        <f t="shared" si="112"/>
        <v>2</v>
      </c>
      <c r="W288" s="162">
        <f t="shared" si="112"/>
        <v>2</v>
      </c>
      <c r="X288" s="163">
        <f t="shared" si="112"/>
        <v>2</v>
      </c>
      <c r="Y288" s="162">
        <f t="shared" si="112"/>
        <v>3</v>
      </c>
      <c r="Z288" s="162">
        <f t="shared" si="112"/>
        <v>3</v>
      </c>
      <c r="AA288" s="163">
        <f t="shared" si="112"/>
        <v>3</v>
      </c>
      <c r="AB288" s="162">
        <f t="shared" si="112"/>
        <v>4</v>
      </c>
      <c r="AC288" s="162">
        <f t="shared" si="112"/>
        <v>4</v>
      </c>
      <c r="AD288" s="164">
        <f t="shared" si="112"/>
        <v>4</v>
      </c>
    </row>
    <row r="289" spans="2:30" hidden="1" outlineLevel="1" x14ac:dyDescent="0.3">
      <c r="G289" s="166">
        <f>G$7</f>
        <v>46053</v>
      </c>
      <c r="H289" s="167">
        <f t="shared" ref="H289:AD289" si="113">H$7</f>
        <v>46081</v>
      </c>
      <c r="I289" s="168">
        <f t="shared" si="113"/>
        <v>46112</v>
      </c>
      <c r="J289" s="167">
        <f t="shared" si="113"/>
        <v>46142</v>
      </c>
      <c r="K289" s="167">
        <f t="shared" si="113"/>
        <v>46173</v>
      </c>
      <c r="L289" s="168">
        <f t="shared" si="113"/>
        <v>46203</v>
      </c>
      <c r="M289" s="167">
        <f t="shared" si="113"/>
        <v>46234</v>
      </c>
      <c r="N289" s="167">
        <f t="shared" si="113"/>
        <v>46265</v>
      </c>
      <c r="O289" s="168">
        <f t="shared" si="113"/>
        <v>46295</v>
      </c>
      <c r="P289" s="167">
        <f t="shared" si="113"/>
        <v>46326</v>
      </c>
      <c r="Q289" s="167">
        <f t="shared" si="113"/>
        <v>46356</v>
      </c>
      <c r="R289" s="169">
        <f t="shared" si="113"/>
        <v>46387</v>
      </c>
      <c r="S289" s="167">
        <f t="shared" si="113"/>
        <v>46418</v>
      </c>
      <c r="T289" s="167">
        <f t="shared" si="113"/>
        <v>46446</v>
      </c>
      <c r="U289" s="168">
        <f t="shared" si="113"/>
        <v>46477</v>
      </c>
      <c r="V289" s="167">
        <f t="shared" si="113"/>
        <v>46507</v>
      </c>
      <c r="W289" s="167">
        <f t="shared" si="113"/>
        <v>46538</v>
      </c>
      <c r="X289" s="168">
        <f t="shared" si="113"/>
        <v>46568</v>
      </c>
      <c r="Y289" s="167">
        <f t="shared" si="113"/>
        <v>46599</v>
      </c>
      <c r="Z289" s="167">
        <f t="shared" si="113"/>
        <v>46630</v>
      </c>
      <c r="AA289" s="168">
        <f t="shared" si="113"/>
        <v>46660</v>
      </c>
      <c r="AB289" s="167">
        <f t="shared" si="113"/>
        <v>46691</v>
      </c>
      <c r="AC289" s="167">
        <f t="shared" si="113"/>
        <v>46721</v>
      </c>
      <c r="AD289" s="169">
        <f t="shared" si="113"/>
        <v>46752</v>
      </c>
    </row>
    <row r="290" spans="2:30" hidden="1" outlineLevel="1" x14ac:dyDescent="0.3"/>
    <row r="291" spans="2:30" hidden="1" outlineLevel="1" x14ac:dyDescent="0.3">
      <c r="B291" s="172"/>
    </row>
    <row r="292" spans="2:30" hidden="1" outlineLevel="1" x14ac:dyDescent="0.3">
      <c r="B292" s="192" t="s">
        <v>10</v>
      </c>
      <c r="G292" s="323">
        <f>G$163</f>
        <v>10958.6736</v>
      </c>
      <c r="H292" s="324">
        <f t="shared" ref="H292:AD292" si="114">H$163</f>
        <v>11203.755012616321</v>
      </c>
      <c r="I292" s="325">
        <f t="shared" si="114"/>
        <v>11445.843129067427</v>
      </c>
      <c r="J292" s="324">
        <f t="shared" si="114"/>
        <v>11685.523912657565</v>
      </c>
      <c r="K292" s="324">
        <f t="shared" si="114"/>
        <v>11923.371296821064</v>
      </c>
      <c r="L292" s="325">
        <f t="shared" si="114"/>
        <v>12159.948060370698</v>
      </c>
      <c r="M292" s="324">
        <f t="shared" si="114"/>
        <v>12395.806681212705</v>
      </c>
      <c r="N292" s="324">
        <f t="shared" si="114"/>
        <v>12631.490169755094</v>
      </c>
      <c r="O292" s="325">
        <f t="shared" si="114"/>
        <v>12867.532883201688</v>
      </c>
      <c r="P292" s="324">
        <f t="shared" si="114"/>
        <v>13104.461321891878</v>
      </c>
      <c r="Q292" s="324">
        <f t="shared" si="114"/>
        <v>13342.794908815267</v>
      </c>
      <c r="R292" s="325">
        <f t="shared" si="114"/>
        <v>13583.046753401115</v>
      </c>
      <c r="S292" s="324">
        <f t="shared" si="114"/>
        <v>13891.180248237215</v>
      </c>
      <c r="T292" s="324">
        <f t="shared" si="114"/>
        <v>14201.713286010492</v>
      </c>
      <c r="U292" s="325">
        <f t="shared" si="114"/>
        <v>14515.095050805003</v>
      </c>
      <c r="V292" s="324">
        <f t="shared" si="114"/>
        <v>14831.770332743587</v>
      </c>
      <c r="W292" s="324">
        <f t="shared" si="114"/>
        <v>15152.180101056463</v>
      </c>
      <c r="X292" s="325">
        <f t="shared" si="114"/>
        <v>15476.762065522098</v>
      </c>
      <c r="Y292" s="324">
        <f t="shared" si="114"/>
        <v>15805.951227045345</v>
      </c>
      <c r="Z292" s="324">
        <f t="shared" si="114"/>
        <v>16140.180418116599</v>
      </c>
      <c r="AA292" s="325">
        <f t="shared" si="114"/>
        <v>16479.880833875395</v>
      </c>
      <c r="AB292" s="324">
        <f t="shared" si="114"/>
        <v>16825.482554482704</v>
      </c>
      <c r="AC292" s="324">
        <f t="shared" si="114"/>
        <v>17177.415059487928</v>
      </c>
      <c r="AD292" s="325">
        <f t="shared" si="114"/>
        <v>17536.107734859459</v>
      </c>
    </row>
    <row r="293" spans="2:30" hidden="1" outlineLevel="1" x14ac:dyDescent="0.3">
      <c r="B293" s="165"/>
      <c r="G293" s="297"/>
      <c r="H293" s="297"/>
      <c r="I293" s="297"/>
      <c r="J293" s="297"/>
      <c r="K293" s="297"/>
      <c r="L293" s="297"/>
      <c r="M293" s="297"/>
      <c r="N293" s="297"/>
      <c r="O293" s="297"/>
      <c r="P293" s="297"/>
      <c r="Q293" s="297"/>
      <c r="R293" s="297"/>
      <c r="S293" s="297"/>
      <c r="T293" s="297"/>
      <c r="U293" s="297"/>
      <c r="V293" s="297"/>
      <c r="W293" s="297"/>
      <c r="X293" s="297"/>
      <c r="Y293" s="297"/>
      <c r="Z293" s="297"/>
      <c r="AA293" s="297"/>
      <c r="AB293" s="297"/>
      <c r="AC293" s="297"/>
      <c r="AD293" s="297"/>
    </row>
    <row r="294" spans="2:30" hidden="1" outlineLevel="1" x14ac:dyDescent="0.3">
      <c r="B294" s="192" t="s">
        <v>209</v>
      </c>
    </row>
    <row r="295" spans="2:30" hidden="1" outlineLevel="1" x14ac:dyDescent="0.3">
      <c r="B295" s="165" t="s">
        <v>91</v>
      </c>
      <c r="G295" s="196">
        <f>G252-G249</f>
        <v>602.22249999999997</v>
      </c>
      <c r="H295" s="196">
        <f t="shared" ref="H295:AD295" si="115">H252-H249</f>
        <v>619.20083333333332</v>
      </c>
      <c r="I295" s="196">
        <f t="shared" si="115"/>
        <v>636.17916666666667</v>
      </c>
      <c r="J295" s="196">
        <f t="shared" si="115"/>
        <v>653.15750000000003</v>
      </c>
      <c r="K295" s="196">
        <f t="shared" si="115"/>
        <v>670.13583333333338</v>
      </c>
      <c r="L295" s="196">
        <f t="shared" si="115"/>
        <v>687.11416666666673</v>
      </c>
      <c r="M295" s="196">
        <f t="shared" si="115"/>
        <v>704.09250000000009</v>
      </c>
      <c r="N295" s="196">
        <f t="shared" si="115"/>
        <v>721.07083333333333</v>
      </c>
      <c r="O295" s="196">
        <f t="shared" si="115"/>
        <v>738.04916666666668</v>
      </c>
      <c r="P295" s="196">
        <f t="shared" si="115"/>
        <v>755.02750000000003</v>
      </c>
      <c r="Q295" s="196">
        <f t="shared" si="115"/>
        <v>772.00583333333338</v>
      </c>
      <c r="R295" s="196">
        <f t="shared" si="115"/>
        <v>788.98416666666674</v>
      </c>
      <c r="S295" s="196">
        <f t="shared" si="115"/>
        <v>801.61624999999981</v>
      </c>
      <c r="T295" s="196">
        <f t="shared" si="115"/>
        <v>809.90208333333317</v>
      </c>
      <c r="U295" s="196">
        <f t="shared" si="115"/>
        <v>818.18791666666652</v>
      </c>
      <c r="V295" s="196">
        <f t="shared" si="115"/>
        <v>826.47375</v>
      </c>
      <c r="W295" s="196">
        <f t="shared" si="115"/>
        <v>834.75958333333324</v>
      </c>
      <c r="X295" s="196">
        <f t="shared" si="115"/>
        <v>843.0454166666666</v>
      </c>
      <c r="Y295" s="196">
        <f t="shared" si="115"/>
        <v>851.33124999999995</v>
      </c>
      <c r="Z295" s="196">
        <f t="shared" si="115"/>
        <v>859.61708333333331</v>
      </c>
      <c r="AA295" s="196">
        <f t="shared" si="115"/>
        <v>867.90291666666667</v>
      </c>
      <c r="AB295" s="196">
        <f t="shared" si="115"/>
        <v>876.18875000000003</v>
      </c>
      <c r="AC295" s="196">
        <f t="shared" si="115"/>
        <v>884.47458333333338</v>
      </c>
      <c r="AD295" s="196">
        <f t="shared" si="115"/>
        <v>892.76041666666652</v>
      </c>
    </row>
    <row r="296" spans="2:30" hidden="1" outlineLevel="1" x14ac:dyDescent="0.3">
      <c r="B296" s="165" t="s">
        <v>109</v>
      </c>
      <c r="G296" s="196">
        <f>G292*Inputs!F91/Inputs!$E$207</f>
        <v>127.85119200000001</v>
      </c>
      <c r="H296" s="196">
        <f>H292*Inputs!G91/Inputs!$E$207</f>
        <v>130.71047514719041</v>
      </c>
      <c r="I296" s="196">
        <f>I292*Inputs!H91/Inputs!$E$207</f>
        <v>133.53483650578667</v>
      </c>
      <c r="J296" s="196">
        <f>J292*Inputs!I91/Inputs!$E$207</f>
        <v>136.33111231433827</v>
      </c>
      <c r="K296" s="196">
        <f>K292*Inputs!J91/Inputs!$E$207</f>
        <v>139.10599846291242</v>
      </c>
      <c r="L296" s="196">
        <f>L292*Inputs!K91/Inputs!$E$207</f>
        <v>141.86606070432484</v>
      </c>
      <c r="M296" s="196">
        <f>M292*Inputs!L91/Inputs!$E$207</f>
        <v>144.61774461414825</v>
      </c>
      <c r="N296" s="196">
        <f>N292*Inputs!M91/Inputs!$E$207</f>
        <v>147.36738531380945</v>
      </c>
      <c r="O296" s="196">
        <f>O292*Inputs!N91/Inputs!$E$207</f>
        <v>150.12121697068636</v>
      </c>
      <c r="P296" s="196">
        <f>P292*Inputs!O91/Inputs!$E$207</f>
        <v>152.8853820887386</v>
      </c>
      <c r="Q296" s="196">
        <f>Q292*Inputs!P91/Inputs!$E$207</f>
        <v>155.66594060284481</v>
      </c>
      <c r="R296" s="196">
        <f>R292*Inputs!Q91/Inputs!$E$207</f>
        <v>158.46887878967968</v>
      </c>
      <c r="S296" s="196">
        <f>S292*Inputs!R91/Inputs!$E$207</f>
        <v>160.90617120874774</v>
      </c>
      <c r="T296" s="196">
        <f>T292*Inputs!S91/Inputs!$E$207</f>
        <v>163.31970278912067</v>
      </c>
      <c r="U296" s="196">
        <f>U292*Inputs!T91/Inputs!$E$207</f>
        <v>165.71400183002379</v>
      </c>
      <c r="V296" s="196">
        <f>V292*Inputs!U91/Inputs!$E$207</f>
        <v>168.09339710442734</v>
      </c>
      <c r="W296" s="196">
        <f>W292*Inputs!V91/Inputs!$E$207</f>
        <v>170.46202613688521</v>
      </c>
      <c r="X296" s="196">
        <f>X292*Inputs!W91/Inputs!$E$207</f>
        <v>172.82384306499679</v>
      </c>
      <c r="Y296" s="196">
        <f>Y292*Inputs!X91/Inputs!$E$207</f>
        <v>175.18262609975258</v>
      </c>
      <c r="Z296" s="196">
        <f>Z292*Inputs!Y91/Inputs!$E$207</f>
        <v>177.54198459928261</v>
      </c>
      <c r="AA296" s="196">
        <f>AA292*Inputs!Z91/Inputs!$E$207</f>
        <v>179.90536576980639</v>
      </c>
      <c r="AB296" s="196">
        <f>AB292*Inputs!AA91/Inputs!$E$207</f>
        <v>182.27606100689596</v>
      </c>
      <c r="AC296" s="196">
        <f>AC292*Inputs!AB91/Inputs!$E$207</f>
        <v>186.08866314445257</v>
      </c>
      <c r="AD296" s="196">
        <f>AD292*Inputs!AC91/Inputs!$E$207</f>
        <v>189.97450046097745</v>
      </c>
    </row>
    <row r="297" spans="2:30" hidden="1" outlineLevel="1" x14ac:dyDescent="0.3">
      <c r="B297" s="165" t="s">
        <v>208</v>
      </c>
      <c r="G297" s="287">
        <f>G292*Inputs!F97/Inputs!$E$207</f>
        <v>91.322279999999992</v>
      </c>
      <c r="H297" s="287">
        <f>H292*Inputs!G97/Inputs!$E$207</f>
        <v>93.364625105136</v>
      </c>
      <c r="I297" s="287">
        <f>I292*Inputs!H97/Inputs!$E$207</f>
        <v>95.382026075561896</v>
      </c>
      <c r="J297" s="287">
        <f>J292*Inputs!I97/Inputs!$E$207</f>
        <v>97.379365938813052</v>
      </c>
      <c r="K297" s="287">
        <f>K292*Inputs!J97/Inputs!$E$207</f>
        <v>99.361427473508869</v>
      </c>
      <c r="L297" s="287">
        <f>L292*Inputs!K97/Inputs!$E$207</f>
        <v>101.33290050308915</v>
      </c>
      <c r="M297" s="287">
        <f>M292*Inputs!L97/Inputs!$E$207</f>
        <v>103.29838901010589</v>
      </c>
      <c r="N297" s="287">
        <f>N292*Inputs!M97/Inputs!$E$207</f>
        <v>105.26241808129247</v>
      </c>
      <c r="O297" s="287">
        <f>O292*Inputs!N97/Inputs!$E$207</f>
        <v>107.2294406933474</v>
      </c>
      <c r="P297" s="287">
        <f>P292*Inputs!O97/Inputs!$E$207</f>
        <v>109.20384434909899</v>
      </c>
      <c r="Q297" s="287">
        <f>Q292*Inputs!P97/Inputs!$E$207</f>
        <v>111.18995757346056</v>
      </c>
      <c r="R297" s="287">
        <f>R292*Inputs!Q97/Inputs!$E$207</f>
        <v>113.19205627834263</v>
      </c>
      <c r="S297" s="287">
        <f>S292*Inputs!R97/Inputs!$E$207</f>
        <v>114.60223704795703</v>
      </c>
      <c r="T297" s="287">
        <f>T292*Inputs!S97/Inputs!$E$207</f>
        <v>115.98065850241903</v>
      </c>
      <c r="U297" s="287">
        <f>U292*Inputs!T97/Inputs!$E$207</f>
        <v>117.33035166067378</v>
      </c>
      <c r="V297" s="287">
        <f>V292*Inputs!U97/Inputs!$E$207</f>
        <v>118.6541626619487</v>
      </c>
      <c r="W297" s="287">
        <f>W292*Inputs!V97/Inputs!$E$207</f>
        <v>119.95475913336367</v>
      </c>
      <c r="X297" s="287">
        <f>X292*Inputs!W97/Inputs!$E$207</f>
        <v>121.2346361799231</v>
      </c>
      <c r="Y297" s="287">
        <f>Y292*Inputs!X97/Inputs!$E$207</f>
        <v>122.49612200960142</v>
      </c>
      <c r="Z297" s="287">
        <f>Z292*Inputs!Y97/Inputs!$E$207</f>
        <v>123.74138320556058</v>
      </c>
      <c r="AA297" s="287">
        <f>AA292*Inputs!Z97/Inputs!$E$207</f>
        <v>124.97242965688842</v>
      </c>
      <c r="AB297" s="287">
        <f>AB292*Inputs!AA97/Inputs!$E$207</f>
        <v>126.19111915862027</v>
      </c>
      <c r="AC297" s="287">
        <f>AC292*Inputs!AB97/Inputs!$E$207</f>
        <v>128.83061294615945</v>
      </c>
      <c r="AD297" s="287">
        <f>AD292*Inputs!AC97/Inputs!$E$207</f>
        <v>131.52080801144595</v>
      </c>
    </row>
    <row r="298" spans="2:30" hidden="1" outlineLevel="1" x14ac:dyDescent="0.3">
      <c r="B298" s="165" t="s">
        <v>110</v>
      </c>
      <c r="G298" s="196">
        <f>SUM(G295:G297)</f>
        <v>821.39597199999992</v>
      </c>
      <c r="H298" s="196">
        <f t="shared" ref="H298:AD298" si="116">SUM(H295:H297)</f>
        <v>843.2759335856598</v>
      </c>
      <c r="I298" s="196">
        <f t="shared" si="116"/>
        <v>865.09602924801516</v>
      </c>
      <c r="J298" s="196">
        <f t="shared" si="116"/>
        <v>886.86797825315136</v>
      </c>
      <c r="K298" s="196">
        <f t="shared" si="116"/>
        <v>908.60325926975474</v>
      </c>
      <c r="L298" s="196">
        <f t="shared" si="116"/>
        <v>930.31312787408069</v>
      </c>
      <c r="M298" s="196">
        <f t="shared" si="116"/>
        <v>952.00863362425423</v>
      </c>
      <c r="N298" s="196">
        <f t="shared" si="116"/>
        <v>973.70063672843526</v>
      </c>
      <c r="O298" s="196">
        <f t="shared" si="116"/>
        <v>995.39982433070054</v>
      </c>
      <c r="P298" s="196">
        <f t="shared" si="116"/>
        <v>1017.1167264378375</v>
      </c>
      <c r="Q298" s="196">
        <f t="shared" si="116"/>
        <v>1038.8617315096387</v>
      </c>
      <c r="R298" s="196">
        <f t="shared" si="116"/>
        <v>1060.645101734689</v>
      </c>
      <c r="S298" s="196">
        <f t="shared" si="116"/>
        <v>1077.1246582567046</v>
      </c>
      <c r="T298" s="196">
        <f t="shared" si="116"/>
        <v>1089.2024446248729</v>
      </c>
      <c r="U298" s="196">
        <f t="shared" si="116"/>
        <v>1101.2322701573642</v>
      </c>
      <c r="V298" s="196">
        <f t="shared" si="116"/>
        <v>1113.2213097663762</v>
      </c>
      <c r="W298" s="196">
        <f t="shared" si="116"/>
        <v>1125.1763686035822</v>
      </c>
      <c r="X298" s="196">
        <f t="shared" si="116"/>
        <v>1137.1038959115865</v>
      </c>
      <c r="Y298" s="196">
        <f t="shared" si="116"/>
        <v>1149.0099981093538</v>
      </c>
      <c r="Z298" s="196">
        <f t="shared" si="116"/>
        <v>1160.9004511381765</v>
      </c>
      <c r="AA298" s="196">
        <f t="shared" si="116"/>
        <v>1172.7807120933614</v>
      </c>
      <c r="AB298" s="196">
        <f t="shared" si="116"/>
        <v>1184.6559301655163</v>
      </c>
      <c r="AC298" s="196">
        <f t="shared" si="116"/>
        <v>1199.3938594239453</v>
      </c>
      <c r="AD298" s="196">
        <f t="shared" si="116"/>
        <v>1214.2557251390899</v>
      </c>
    </row>
    <row r="299" spans="2:30" hidden="1" outlineLevel="1" x14ac:dyDescent="0.3"/>
    <row r="300" spans="2:30" hidden="1" outlineLevel="1" x14ac:dyDescent="0.3">
      <c r="B300" s="172" t="s">
        <v>111</v>
      </c>
    </row>
    <row r="301" spans="2:30" hidden="1" outlineLevel="1" x14ac:dyDescent="0.3">
      <c r="B301" s="165" t="s">
        <v>112</v>
      </c>
      <c r="G301" s="294">
        <f>G298</f>
        <v>821.39597199999992</v>
      </c>
      <c r="H301" s="292">
        <f t="shared" ref="H301:AD301" si="117">H298</f>
        <v>843.2759335856598</v>
      </c>
      <c r="I301" s="295">
        <f t="shared" si="117"/>
        <v>865.09602924801516</v>
      </c>
      <c r="J301" s="292">
        <f t="shared" si="117"/>
        <v>886.86797825315136</v>
      </c>
      <c r="K301" s="292">
        <f t="shared" si="117"/>
        <v>908.60325926975474</v>
      </c>
      <c r="L301" s="295">
        <f t="shared" si="117"/>
        <v>930.31312787408069</v>
      </c>
      <c r="M301" s="292">
        <f t="shared" si="117"/>
        <v>952.00863362425423</v>
      </c>
      <c r="N301" s="292">
        <f t="shared" si="117"/>
        <v>973.70063672843526</v>
      </c>
      <c r="O301" s="295">
        <f t="shared" si="117"/>
        <v>995.39982433070054</v>
      </c>
      <c r="P301" s="292">
        <f t="shared" si="117"/>
        <v>1017.1167264378375</v>
      </c>
      <c r="Q301" s="292">
        <f t="shared" si="117"/>
        <v>1038.8617315096387</v>
      </c>
      <c r="R301" s="295">
        <f t="shared" si="117"/>
        <v>1060.645101734689</v>
      </c>
      <c r="S301" s="292">
        <f t="shared" si="117"/>
        <v>1077.1246582567046</v>
      </c>
      <c r="T301" s="292">
        <f t="shared" si="117"/>
        <v>1089.2024446248729</v>
      </c>
      <c r="U301" s="295">
        <f t="shared" si="117"/>
        <v>1101.2322701573642</v>
      </c>
      <c r="V301" s="292">
        <f t="shared" si="117"/>
        <v>1113.2213097663762</v>
      </c>
      <c r="W301" s="292">
        <f t="shared" si="117"/>
        <v>1125.1763686035822</v>
      </c>
      <c r="X301" s="295">
        <f t="shared" si="117"/>
        <v>1137.1038959115865</v>
      </c>
      <c r="Y301" s="292">
        <f t="shared" si="117"/>
        <v>1149.0099981093538</v>
      </c>
      <c r="Z301" s="292">
        <f t="shared" si="117"/>
        <v>1160.9004511381765</v>
      </c>
      <c r="AA301" s="295">
        <f t="shared" si="117"/>
        <v>1172.7807120933614</v>
      </c>
      <c r="AB301" s="292">
        <f t="shared" si="117"/>
        <v>1184.6559301655163</v>
      </c>
      <c r="AC301" s="292">
        <f t="shared" si="117"/>
        <v>1199.3938594239453</v>
      </c>
      <c r="AD301" s="295">
        <f t="shared" si="117"/>
        <v>1214.2557251390899</v>
      </c>
    </row>
    <row r="302" spans="2:30" hidden="1" outlineLevel="1" x14ac:dyDescent="0.3">
      <c r="B302" s="165" t="s">
        <v>206</v>
      </c>
      <c r="G302" s="296">
        <f>G247+G248+G296</f>
        <v>309.96160866666668</v>
      </c>
      <c r="H302" s="297">
        <f t="shared" ref="H302:AD302" si="118">H247+H248+H296</f>
        <v>319.17505848052372</v>
      </c>
      <c r="I302" s="298">
        <f t="shared" si="118"/>
        <v>328.35358650578667</v>
      </c>
      <c r="J302" s="297">
        <f t="shared" si="118"/>
        <v>337.50402898100492</v>
      </c>
      <c r="K302" s="297">
        <f t="shared" si="118"/>
        <v>346.63308179624573</v>
      </c>
      <c r="L302" s="298">
        <f t="shared" si="118"/>
        <v>355.74731070432483</v>
      </c>
      <c r="M302" s="297">
        <f t="shared" si="118"/>
        <v>364.8531612808149</v>
      </c>
      <c r="N302" s="297">
        <f t="shared" si="118"/>
        <v>373.95696864714279</v>
      </c>
      <c r="O302" s="298">
        <f t="shared" si="118"/>
        <v>383.06496697068633</v>
      </c>
      <c r="P302" s="297">
        <f t="shared" si="118"/>
        <v>392.18329875540525</v>
      </c>
      <c r="Q302" s="297">
        <f t="shared" si="118"/>
        <v>401.31802393617818</v>
      </c>
      <c r="R302" s="298">
        <f t="shared" si="118"/>
        <v>410.47512878967962</v>
      </c>
      <c r="S302" s="297">
        <f t="shared" si="118"/>
        <v>417.74158787541433</v>
      </c>
      <c r="T302" s="297">
        <f t="shared" si="118"/>
        <v>423.45928612245393</v>
      </c>
      <c r="U302" s="298">
        <f t="shared" si="118"/>
        <v>429.1577518300237</v>
      </c>
      <c r="V302" s="297">
        <f t="shared" si="118"/>
        <v>434.84131377109395</v>
      </c>
      <c r="W302" s="297">
        <f t="shared" si="118"/>
        <v>440.5141094702185</v>
      </c>
      <c r="X302" s="298">
        <f t="shared" si="118"/>
        <v>446.18009306499664</v>
      </c>
      <c r="Y302" s="297">
        <f t="shared" si="118"/>
        <v>451.8430427664191</v>
      </c>
      <c r="Z302" s="297">
        <f t="shared" si="118"/>
        <v>457.50656793261578</v>
      </c>
      <c r="AA302" s="298">
        <f t="shared" si="118"/>
        <v>463.17411576980624</v>
      </c>
      <c r="AB302" s="297">
        <f t="shared" si="118"/>
        <v>468.84897767356244</v>
      </c>
      <c r="AC302" s="297">
        <f t="shared" si="118"/>
        <v>475.96574647778573</v>
      </c>
      <c r="AD302" s="298">
        <f t="shared" si="118"/>
        <v>483.15575046097729</v>
      </c>
    </row>
    <row r="303" spans="2:30" hidden="1" outlineLevel="1" x14ac:dyDescent="0.3">
      <c r="B303" s="165" t="s">
        <v>207</v>
      </c>
      <c r="G303" s="296">
        <f>G297+G251</f>
        <v>204.65519666666665</v>
      </c>
      <c r="H303" s="297">
        <f t="shared" ref="H303:AD303" si="119">H297+H251</f>
        <v>208.68004177180268</v>
      </c>
      <c r="I303" s="298">
        <f t="shared" si="119"/>
        <v>212.67994274222858</v>
      </c>
      <c r="J303" s="297">
        <f t="shared" si="119"/>
        <v>216.65978260547973</v>
      </c>
      <c r="K303" s="297">
        <f t="shared" si="119"/>
        <v>220.62434414017554</v>
      </c>
      <c r="L303" s="298">
        <f t="shared" si="119"/>
        <v>224.57831716975585</v>
      </c>
      <c r="M303" s="297">
        <f t="shared" si="119"/>
        <v>228.52630567677258</v>
      </c>
      <c r="N303" s="297">
        <f t="shared" si="119"/>
        <v>232.47283474795918</v>
      </c>
      <c r="O303" s="298">
        <f t="shared" si="119"/>
        <v>236.42235736001408</v>
      </c>
      <c r="P303" s="297">
        <f t="shared" si="119"/>
        <v>240.37926101576574</v>
      </c>
      <c r="Q303" s="297">
        <f t="shared" si="119"/>
        <v>244.34787424012728</v>
      </c>
      <c r="R303" s="298">
        <f t="shared" si="119"/>
        <v>248.33247294500939</v>
      </c>
      <c r="S303" s="297">
        <f t="shared" si="119"/>
        <v>251.06432038129043</v>
      </c>
      <c r="T303" s="297">
        <f t="shared" si="119"/>
        <v>253.10357516908579</v>
      </c>
      <c r="U303" s="298">
        <f t="shared" si="119"/>
        <v>255.11410166067387</v>
      </c>
      <c r="V303" s="297">
        <f t="shared" si="119"/>
        <v>257.09874599528212</v>
      </c>
      <c r="W303" s="297">
        <f t="shared" si="119"/>
        <v>259.06017580003044</v>
      </c>
      <c r="X303" s="298">
        <f t="shared" si="119"/>
        <v>261.00088617992321</v>
      </c>
      <c r="Y303" s="297">
        <f t="shared" si="119"/>
        <v>262.92320534293486</v>
      </c>
      <c r="Z303" s="297">
        <f t="shared" si="119"/>
        <v>264.82929987222735</v>
      </c>
      <c r="AA303" s="298">
        <f t="shared" si="119"/>
        <v>266.72117965688858</v>
      </c>
      <c r="AB303" s="297">
        <f t="shared" si="119"/>
        <v>268.60070249195377</v>
      </c>
      <c r="AC303" s="297">
        <f t="shared" si="119"/>
        <v>271.90102961282628</v>
      </c>
      <c r="AD303" s="298">
        <f t="shared" si="119"/>
        <v>275.25205801144614</v>
      </c>
    </row>
    <row r="304" spans="2:30" hidden="1" outlineLevel="1" x14ac:dyDescent="0.3">
      <c r="B304" s="165" t="s">
        <v>113</v>
      </c>
      <c r="G304" s="318">
        <f>G301*Inputs!$E$207/G292</f>
        <v>0.89944750831888998</v>
      </c>
      <c r="H304" s="319">
        <f>H301*Inputs!$E$207/H292</f>
        <v>0.90320711151152155</v>
      </c>
      <c r="I304" s="320">
        <f>I301*Inputs!$E$207/I292</f>
        <v>0.9069801354006507</v>
      </c>
      <c r="J304" s="319">
        <f>J301*Inputs!$E$207/J292</f>
        <v>0.91073501013592806</v>
      </c>
      <c r="K304" s="319">
        <f>K301*Inputs!$E$207/K292</f>
        <v>0.9144426387312129</v>
      </c>
      <c r="L304" s="320">
        <f>L301*Inputs!$E$207/L292</f>
        <v>0.91807608709051014</v>
      </c>
      <c r="M304" s="319">
        <f>M301*Inputs!$E$207/M292</f>
        <v>0.92161033947113868</v>
      </c>
      <c r="N304" s="319">
        <f>N301*Inputs!$E$207/N292</f>
        <v>0.92502210615802316</v>
      </c>
      <c r="O304" s="320">
        <f>O301*Inputs!$E$207/O292</f>
        <v>0.92828967296148168</v>
      </c>
      <c r="P304" s="319">
        <f>P301*Inputs!$E$207/P292</f>
        <v>0.93139278429278993</v>
      </c>
      <c r="Q304" s="319">
        <f>Q301*Inputs!$E$207/Q292</f>
        <v>0.93431255320273632</v>
      </c>
      <c r="R304" s="320">
        <f>R301*Inputs!$E$207/R292</f>
        <v>0.93703139302154848</v>
      </c>
      <c r="S304" s="319">
        <f>S301*Inputs!$E$207/S292</f>
        <v>0.93048219576019797</v>
      </c>
      <c r="T304" s="319">
        <f>T301*Inputs!$E$207/T292</f>
        <v>0.92034172724593744</v>
      </c>
      <c r="U304" s="320">
        <f>U301*Inputs!$E$207/U292</f>
        <v>0.91041685883796419</v>
      </c>
      <c r="V304" s="319">
        <f>V301*Inputs!$E$207/V292</f>
        <v>0.90067843672748027</v>
      </c>
      <c r="W304" s="319">
        <f>W301*Inputs!$E$207/W292</f>
        <v>0.89110057649734331</v>
      </c>
      <c r="X304" s="320">
        <f>X301*Inputs!$E$207/X292</f>
        <v>0.88166030421420216</v>
      </c>
      <c r="Y304" s="319">
        <f>Y301*Inputs!$E$207/Y292</f>
        <v>0.8723372468541839</v>
      </c>
      <c r="Z304" s="319">
        <f>Z301*Inputs!$E$207/Z292</f>
        <v>0.86311336383956661</v>
      </c>
      <c r="AA304" s="320">
        <f>AA301*Inputs!$E$207/AA292</f>
        <v>0.8539727129696032</v>
      </c>
      <c r="AB304" s="319">
        <f>AB301*Inputs!$E$207/AB292</f>
        <v>0.84490124523642596</v>
      </c>
      <c r="AC304" s="319">
        <f>AC301*Inputs!$E$207/AC292</f>
        <v>0.83788662399104896</v>
      </c>
      <c r="AD304" s="320">
        <f>AD301*Inputs!$E$207/AD292</f>
        <v>0.83091806471419682</v>
      </c>
    </row>
    <row r="305" spans="1:30" hidden="1" outlineLevel="1" x14ac:dyDescent="0.3">
      <c r="B305" s="165" t="s">
        <v>114</v>
      </c>
      <c r="G305" s="318">
        <f>G295/G$301</f>
        <v>0.73316953153989906</v>
      </c>
      <c r="H305" s="319">
        <f t="shared" ref="H305:AD305" si="120">H295/H$301</f>
        <v>0.73428021442572688</v>
      </c>
      <c r="I305" s="320">
        <f t="shared" si="120"/>
        <v>0.73538560478617099</v>
      </c>
      <c r="J305" s="319">
        <f t="shared" si="120"/>
        <v>0.7364765850341255</v>
      </c>
      <c r="K305" s="319">
        <f t="shared" si="120"/>
        <v>0.73754504674782051</v>
      </c>
      <c r="L305" s="320">
        <f t="shared" si="120"/>
        <v>0.7385837586069931</v>
      </c>
      <c r="M305" s="319">
        <f t="shared" si="120"/>
        <v>0.73958625492665064</v>
      </c>
      <c r="N305" s="319">
        <f t="shared" si="120"/>
        <v>0.74054674109701724</v>
      </c>
      <c r="O305" s="320">
        <f t="shared" si="120"/>
        <v>0.74146001297812714</v>
      </c>
      <c r="P305" s="319">
        <f t="shared" si="120"/>
        <v>0.74232138787479129</v>
      </c>
      <c r="Q305" s="319">
        <f t="shared" si="120"/>
        <v>0.74312664517103799</v>
      </c>
      <c r="R305" s="320">
        <f t="shared" si="120"/>
        <v>0.74387197506147928</v>
      </c>
      <c r="S305" s="319">
        <f t="shared" si="120"/>
        <v>0.74421864159845041</v>
      </c>
      <c r="T305" s="319">
        <f t="shared" si="120"/>
        <v>0.74357350860727067</v>
      </c>
      <c r="U305" s="320">
        <f t="shared" si="120"/>
        <v>0.74297488262830225</v>
      </c>
      <c r="V305" s="319">
        <f t="shared" si="120"/>
        <v>0.74241639353224931</v>
      </c>
      <c r="W305" s="319">
        <f t="shared" si="120"/>
        <v>0.74189221052458176</v>
      </c>
      <c r="X305" s="320">
        <f t="shared" si="120"/>
        <v>0.74139699960382166</v>
      </c>
      <c r="Y305" s="319">
        <f t="shared" si="120"/>
        <v>0.74092588524105851</v>
      </c>
      <c r="Z305" s="319">
        <f t="shared" si="120"/>
        <v>0.7404744157783234</v>
      </c>
      <c r="AA305" s="320">
        <f t="shared" si="120"/>
        <v>0.74003853211185455</v>
      </c>
      <c r="AB305" s="319">
        <f t="shared" si="120"/>
        <v>0.73961453928448384</v>
      </c>
      <c r="AC305" s="319">
        <f t="shared" si="120"/>
        <v>0.73743464366087053</v>
      </c>
      <c r="AD305" s="320">
        <f t="shared" si="120"/>
        <v>0.73523261878333168</v>
      </c>
    </row>
    <row r="306" spans="1:30" hidden="1" outlineLevel="1" x14ac:dyDescent="0.3">
      <c r="B306" s="165" t="s">
        <v>115</v>
      </c>
      <c r="G306" s="318">
        <f>G296/G$301</f>
        <v>0.1556511066017256</v>
      </c>
      <c r="H306" s="319">
        <f t="shared" ref="H306:AD306" si="121">H296/H$301</f>
        <v>0.15500320825165925</v>
      </c>
      <c r="I306" s="320">
        <f t="shared" si="121"/>
        <v>0.15435839720806699</v>
      </c>
      <c r="J306" s="319">
        <f t="shared" si="121"/>
        <v>0.15372199206342677</v>
      </c>
      <c r="K306" s="319">
        <f t="shared" si="121"/>
        <v>0.15309872273043798</v>
      </c>
      <c r="L306" s="320">
        <f t="shared" si="121"/>
        <v>0.15249280747925403</v>
      </c>
      <c r="M306" s="319">
        <f t="shared" si="121"/>
        <v>0.15190801795945377</v>
      </c>
      <c r="N306" s="319">
        <f t="shared" si="121"/>
        <v>0.15134773436007329</v>
      </c>
      <c r="O306" s="320">
        <f t="shared" si="121"/>
        <v>0.15081499242942578</v>
      </c>
      <c r="P306" s="319">
        <f t="shared" si="121"/>
        <v>0.15031252373970511</v>
      </c>
      <c r="Q306" s="319">
        <f t="shared" si="121"/>
        <v>0.14984279031689457</v>
      </c>
      <c r="R306" s="320">
        <f t="shared" si="121"/>
        <v>0.14940801454747044</v>
      </c>
      <c r="S306" s="319">
        <f t="shared" si="121"/>
        <v>0.14938491099922432</v>
      </c>
      <c r="T306" s="319">
        <f t="shared" si="121"/>
        <v>0.14994430428896882</v>
      </c>
      <c r="U306" s="320">
        <f t="shared" si="121"/>
        <v>0.15048051743556656</v>
      </c>
      <c r="V306" s="319">
        <f t="shared" si="121"/>
        <v>0.15099728655006064</v>
      </c>
      <c r="W306" s="319">
        <f t="shared" si="121"/>
        <v>0.15149805034426717</v>
      </c>
      <c r="X306" s="320">
        <f t="shared" si="121"/>
        <v>0.15198597391705218</v>
      </c>
      <c r="Y306" s="319">
        <f t="shared" si="121"/>
        <v>0.15246397018999661</v>
      </c>
      <c r="Z306" s="319">
        <f t="shared" si="121"/>
        <v>0.15293471927348801</v>
      </c>
      <c r="AA306" s="320">
        <f t="shared" si="121"/>
        <v>0.15340068600606785</v>
      </c>
      <c r="AB306" s="319">
        <f t="shared" si="121"/>
        <v>0.15386413587735043</v>
      </c>
      <c r="AC306" s="319">
        <f t="shared" si="121"/>
        <v>0.15515225601857655</v>
      </c>
      <c r="AD306" s="320">
        <f t="shared" si="121"/>
        <v>0.15645345253712215</v>
      </c>
    </row>
    <row r="307" spans="1:30" hidden="1" outlineLevel="1" x14ac:dyDescent="0.3">
      <c r="B307" s="165" t="s">
        <v>210</v>
      </c>
      <c r="G307" s="321">
        <f>G297/G$301</f>
        <v>0.11117936185837542</v>
      </c>
      <c r="H307" s="314">
        <f t="shared" ref="H307:AD307" si="122">H297/H$301</f>
        <v>0.11071657732261375</v>
      </c>
      <c r="I307" s="322">
        <f t="shared" si="122"/>
        <v>0.11025599800576213</v>
      </c>
      <c r="J307" s="314">
        <f t="shared" si="122"/>
        <v>0.10980142290244768</v>
      </c>
      <c r="K307" s="314">
        <f t="shared" si="122"/>
        <v>0.1093562305217414</v>
      </c>
      <c r="L307" s="322">
        <f t="shared" si="122"/>
        <v>0.10892343391375287</v>
      </c>
      <c r="M307" s="314">
        <f t="shared" si="122"/>
        <v>0.10850572711389554</v>
      </c>
      <c r="N307" s="314">
        <f t="shared" si="122"/>
        <v>0.1081055245429095</v>
      </c>
      <c r="O307" s="322">
        <f t="shared" si="122"/>
        <v>0.10772499459244698</v>
      </c>
      <c r="P307" s="314">
        <f t="shared" si="122"/>
        <v>0.10736608838550363</v>
      </c>
      <c r="Q307" s="314">
        <f t="shared" si="122"/>
        <v>0.10703056451206752</v>
      </c>
      <c r="R307" s="322">
        <f t="shared" si="122"/>
        <v>0.10672001039105032</v>
      </c>
      <c r="S307" s="314">
        <f t="shared" si="122"/>
        <v>0.10639644740232525</v>
      </c>
      <c r="T307" s="314">
        <f t="shared" si="122"/>
        <v>0.10648218710376048</v>
      </c>
      <c r="U307" s="322">
        <f t="shared" si="122"/>
        <v>0.10654459993613108</v>
      </c>
      <c r="V307" s="314">
        <f t="shared" si="122"/>
        <v>0.10658631991768987</v>
      </c>
      <c r="W307" s="314">
        <f t="shared" si="122"/>
        <v>0.10660973913115097</v>
      </c>
      <c r="X307" s="322">
        <f t="shared" si="122"/>
        <v>0.10661702647912613</v>
      </c>
      <c r="Y307" s="314">
        <f t="shared" si="122"/>
        <v>0.10661014456894499</v>
      </c>
      <c r="Z307" s="314">
        <f t="shared" si="122"/>
        <v>0.10659086494818859</v>
      </c>
      <c r="AA307" s="322">
        <f t="shared" si="122"/>
        <v>0.10656078188207767</v>
      </c>
      <c r="AB307" s="314">
        <f t="shared" si="122"/>
        <v>0.10652132483816566</v>
      </c>
      <c r="AC307" s="314">
        <f t="shared" si="122"/>
        <v>0.10741310032055297</v>
      </c>
      <c r="AD307" s="322">
        <f t="shared" si="122"/>
        <v>0.10831392867954613</v>
      </c>
    </row>
    <row r="308" spans="1:30" hidden="1" outlineLevel="1" x14ac:dyDescent="0.3"/>
    <row r="309" spans="1:30" hidden="1" outlineLevel="1" x14ac:dyDescent="0.3">
      <c r="B309" s="165"/>
    </row>
    <row r="310" spans="1:30" collapsed="1" x14ac:dyDescent="0.3"/>
    <row r="311" spans="1:30" ht="21" x14ac:dyDescent="0.3">
      <c r="A311" s="149" t="s">
        <v>33</v>
      </c>
      <c r="B311" s="152" t="s">
        <v>155</v>
      </c>
      <c r="C311" s="153"/>
      <c r="D311" s="153"/>
      <c r="E311" s="153"/>
      <c r="F311" s="153"/>
      <c r="G311" s="153"/>
      <c r="H311" s="153"/>
      <c r="I311" s="153"/>
      <c r="J311" s="153"/>
      <c r="K311" s="153"/>
      <c r="L311" s="153"/>
      <c r="M311" s="153"/>
      <c r="N311" s="153"/>
      <c r="O311" s="153"/>
      <c r="P311" s="153"/>
      <c r="Q311" s="153"/>
      <c r="R311" s="153"/>
      <c r="S311" s="153"/>
      <c r="T311" s="153"/>
      <c r="U311" s="153"/>
      <c r="V311" s="153"/>
      <c r="W311" s="153"/>
      <c r="X311" s="153"/>
      <c r="Y311" s="153"/>
      <c r="Z311" s="153"/>
      <c r="AA311" s="153"/>
      <c r="AB311" s="153"/>
      <c r="AC311" s="153"/>
      <c r="AD311" s="153"/>
    </row>
    <row r="312" spans="1:30" hidden="1" outlineLevel="1" x14ac:dyDescent="0.3"/>
    <row r="313" spans="1:30" hidden="1" outlineLevel="1" x14ac:dyDescent="0.3">
      <c r="B313" s="155" t="s">
        <v>24</v>
      </c>
      <c r="G313" s="156">
        <f>G$5</f>
        <v>2026</v>
      </c>
      <c r="H313" s="157">
        <f t="shared" ref="H313:AD313" si="123">H$5</f>
        <v>2026</v>
      </c>
      <c r="I313" s="158">
        <f t="shared" si="123"/>
        <v>2026</v>
      </c>
      <c r="J313" s="157">
        <f t="shared" si="123"/>
        <v>2026</v>
      </c>
      <c r="K313" s="157">
        <f t="shared" si="123"/>
        <v>2026</v>
      </c>
      <c r="L313" s="158">
        <f t="shared" si="123"/>
        <v>2026</v>
      </c>
      <c r="M313" s="157">
        <f t="shared" si="123"/>
        <v>2026</v>
      </c>
      <c r="N313" s="157">
        <f t="shared" si="123"/>
        <v>2026</v>
      </c>
      <c r="O313" s="158">
        <f t="shared" si="123"/>
        <v>2026</v>
      </c>
      <c r="P313" s="157">
        <f t="shared" si="123"/>
        <v>2026</v>
      </c>
      <c r="Q313" s="157">
        <f t="shared" si="123"/>
        <v>2026</v>
      </c>
      <c r="R313" s="159">
        <f t="shared" si="123"/>
        <v>2026</v>
      </c>
      <c r="S313" s="157">
        <f t="shared" si="123"/>
        <v>2027</v>
      </c>
      <c r="T313" s="157">
        <f t="shared" si="123"/>
        <v>2027</v>
      </c>
      <c r="U313" s="158">
        <f t="shared" si="123"/>
        <v>2027</v>
      </c>
      <c r="V313" s="157">
        <f t="shared" si="123"/>
        <v>2027</v>
      </c>
      <c r="W313" s="157">
        <f t="shared" si="123"/>
        <v>2027</v>
      </c>
      <c r="X313" s="158">
        <f t="shared" si="123"/>
        <v>2027</v>
      </c>
      <c r="Y313" s="157">
        <f t="shared" si="123"/>
        <v>2027</v>
      </c>
      <c r="Z313" s="157">
        <f t="shared" si="123"/>
        <v>2027</v>
      </c>
      <c r="AA313" s="158">
        <f t="shared" si="123"/>
        <v>2027</v>
      </c>
      <c r="AB313" s="157">
        <f t="shared" si="123"/>
        <v>2027</v>
      </c>
      <c r="AC313" s="157">
        <f t="shared" si="123"/>
        <v>2027</v>
      </c>
      <c r="AD313" s="159">
        <f t="shared" si="123"/>
        <v>2027</v>
      </c>
    </row>
    <row r="314" spans="1:30" hidden="1" outlineLevel="1" x14ac:dyDescent="0.3">
      <c r="B314" s="155" t="str" cm="1">
        <f t="array" ref="B314">CONCATENATE("Model Running: ",INDEX(Inputs!$B$15:$B$17,Inputs!$D$8)," Drivers")</f>
        <v>Model Running: Base Case Drivers</v>
      </c>
      <c r="G314" s="161">
        <f>G$6</f>
        <v>1</v>
      </c>
      <c r="H314" s="162">
        <f t="shared" ref="H314:AD314" si="124">H$6</f>
        <v>1</v>
      </c>
      <c r="I314" s="163">
        <f t="shared" si="124"/>
        <v>1</v>
      </c>
      <c r="J314" s="162">
        <f t="shared" si="124"/>
        <v>2</v>
      </c>
      <c r="K314" s="162">
        <f t="shared" si="124"/>
        <v>2</v>
      </c>
      <c r="L314" s="163">
        <f t="shared" si="124"/>
        <v>2</v>
      </c>
      <c r="M314" s="162">
        <f t="shared" si="124"/>
        <v>3</v>
      </c>
      <c r="N314" s="162">
        <f t="shared" si="124"/>
        <v>3</v>
      </c>
      <c r="O314" s="163">
        <f t="shared" si="124"/>
        <v>3</v>
      </c>
      <c r="P314" s="162">
        <f t="shared" si="124"/>
        <v>4</v>
      </c>
      <c r="Q314" s="162">
        <f t="shared" si="124"/>
        <v>4</v>
      </c>
      <c r="R314" s="164">
        <f t="shared" si="124"/>
        <v>4</v>
      </c>
      <c r="S314" s="162">
        <f t="shared" si="124"/>
        <v>1</v>
      </c>
      <c r="T314" s="162">
        <f t="shared" si="124"/>
        <v>1</v>
      </c>
      <c r="U314" s="163">
        <f t="shared" si="124"/>
        <v>1</v>
      </c>
      <c r="V314" s="162">
        <f t="shared" si="124"/>
        <v>2</v>
      </c>
      <c r="W314" s="162">
        <f t="shared" si="124"/>
        <v>2</v>
      </c>
      <c r="X314" s="163">
        <f t="shared" si="124"/>
        <v>2</v>
      </c>
      <c r="Y314" s="162">
        <f t="shared" si="124"/>
        <v>3</v>
      </c>
      <c r="Z314" s="162">
        <f t="shared" si="124"/>
        <v>3</v>
      </c>
      <c r="AA314" s="163">
        <f t="shared" si="124"/>
        <v>3</v>
      </c>
      <c r="AB314" s="162">
        <f t="shared" si="124"/>
        <v>4</v>
      </c>
      <c r="AC314" s="162">
        <f t="shared" si="124"/>
        <v>4</v>
      </c>
      <c r="AD314" s="164">
        <f t="shared" si="124"/>
        <v>4</v>
      </c>
    </row>
    <row r="315" spans="1:30" hidden="1" outlineLevel="1" x14ac:dyDescent="0.3">
      <c r="G315" s="166">
        <f>G$7</f>
        <v>46053</v>
      </c>
      <c r="H315" s="167">
        <f t="shared" ref="H315:AD315" si="125">H$7</f>
        <v>46081</v>
      </c>
      <c r="I315" s="168">
        <f t="shared" si="125"/>
        <v>46112</v>
      </c>
      <c r="J315" s="167">
        <f t="shared" si="125"/>
        <v>46142</v>
      </c>
      <c r="K315" s="167">
        <f t="shared" si="125"/>
        <v>46173</v>
      </c>
      <c r="L315" s="168">
        <f t="shared" si="125"/>
        <v>46203</v>
      </c>
      <c r="M315" s="167">
        <f t="shared" si="125"/>
        <v>46234</v>
      </c>
      <c r="N315" s="167">
        <f t="shared" si="125"/>
        <v>46265</v>
      </c>
      <c r="O315" s="168">
        <f t="shared" si="125"/>
        <v>46295</v>
      </c>
      <c r="P315" s="167">
        <f t="shared" si="125"/>
        <v>46326</v>
      </c>
      <c r="Q315" s="167">
        <f t="shared" si="125"/>
        <v>46356</v>
      </c>
      <c r="R315" s="169">
        <f t="shared" si="125"/>
        <v>46387</v>
      </c>
      <c r="S315" s="167">
        <f t="shared" si="125"/>
        <v>46418</v>
      </c>
      <c r="T315" s="167">
        <f t="shared" si="125"/>
        <v>46446</v>
      </c>
      <c r="U315" s="168">
        <f t="shared" si="125"/>
        <v>46477</v>
      </c>
      <c r="V315" s="167">
        <f t="shared" si="125"/>
        <v>46507</v>
      </c>
      <c r="W315" s="167">
        <f t="shared" si="125"/>
        <v>46538</v>
      </c>
      <c r="X315" s="168">
        <f t="shared" si="125"/>
        <v>46568</v>
      </c>
      <c r="Y315" s="167">
        <f t="shared" si="125"/>
        <v>46599</v>
      </c>
      <c r="Z315" s="167">
        <f t="shared" si="125"/>
        <v>46630</v>
      </c>
      <c r="AA315" s="168">
        <f t="shared" si="125"/>
        <v>46660</v>
      </c>
      <c r="AB315" s="167">
        <f t="shared" si="125"/>
        <v>46691</v>
      </c>
      <c r="AC315" s="167">
        <f t="shared" si="125"/>
        <v>46721</v>
      </c>
      <c r="AD315" s="169">
        <f t="shared" si="125"/>
        <v>46752</v>
      </c>
    </row>
    <row r="316" spans="1:30" hidden="1" outlineLevel="1" x14ac:dyDescent="0.3"/>
    <row r="317" spans="1:30" hidden="1" outlineLevel="1" x14ac:dyDescent="0.3">
      <c r="B317" s="174"/>
    </row>
    <row r="318" spans="1:30" hidden="1" outlineLevel="1" x14ac:dyDescent="0.3">
      <c r="B318" s="172" t="s">
        <v>279</v>
      </c>
    </row>
    <row r="319" spans="1:30" hidden="1" outlineLevel="1" x14ac:dyDescent="0.3">
      <c r="B319" s="174" t="s">
        <v>196</v>
      </c>
      <c r="G319" s="196">
        <f>G58</f>
        <v>22.527171999999908</v>
      </c>
      <c r="H319" s="196">
        <f t="shared" ref="H319:AD319" ca="1" si="126">H58</f>
        <v>14.91679190663271</v>
      </c>
      <c r="I319" s="196">
        <f t="shared" ca="1" si="126"/>
        <v>8.6331866866524223</v>
      </c>
      <c r="J319" s="196">
        <f t="shared" ca="1" si="126"/>
        <v>2.3248951536568896</v>
      </c>
      <c r="K319" s="196">
        <f t="shared" ca="1" si="126"/>
        <v>-3.9768714142839201</v>
      </c>
      <c r="L319" s="196">
        <f t="shared" ca="1" si="126"/>
        <v>-10.241302002439042</v>
      </c>
      <c r="M319" s="196">
        <f t="shared" ca="1" si="126"/>
        <v>-16.437940982132147</v>
      </c>
      <c r="N319" s="196">
        <f t="shared" ca="1" si="126"/>
        <v>-22.536644068727909</v>
      </c>
      <c r="O319" s="196">
        <f t="shared" ca="1" si="126"/>
        <v>-28.507535053731559</v>
      </c>
      <c r="P319" s="196">
        <f t="shared" ca="1" si="126"/>
        <v>-34.320963251192794</v>
      </c>
      <c r="Q319" s="196">
        <f t="shared" ca="1" si="126"/>
        <v>-39.947461599962068</v>
      </c>
      <c r="R319" s="196">
        <f t="shared" ca="1" si="126"/>
        <v>-45.357705364586621</v>
      </c>
      <c r="S319" s="196">
        <f t="shared" ca="1" si="126"/>
        <v>-28.210835307045883</v>
      </c>
      <c r="T319" s="196">
        <f t="shared" ca="1" si="126"/>
        <v>-17.288765985740184</v>
      </c>
      <c r="U319" s="196">
        <f t="shared" ca="1" si="126"/>
        <v>-5.8658370015226637</v>
      </c>
      <c r="V319" s="196">
        <f t="shared" ca="1" si="126"/>
        <v>5.9714782091431999</v>
      </c>
      <c r="W319" s="196">
        <f t="shared" ca="1" si="126"/>
        <v>18.258217084454955</v>
      </c>
      <c r="X319" s="196">
        <f t="shared" ca="1" si="126"/>
        <v>31.022345751671907</v>
      </c>
      <c r="Y319" s="196">
        <f t="shared" ca="1" si="126"/>
        <v>44.292142390225557</v>
      </c>
      <c r="Z319" s="196">
        <f t="shared" ca="1" si="126"/>
        <v>58.096225264506558</v>
      </c>
      <c r="AA319" s="196">
        <f t="shared" ca="1" si="126"/>
        <v>72.463580962219922</v>
      </c>
      <c r="AB319" s="196">
        <f t="shared" ca="1" si="126"/>
        <v>87.4235928649409</v>
      </c>
      <c r="AC319" s="196">
        <f t="shared" ca="1" si="126"/>
        <v>104.36594856990408</v>
      </c>
      <c r="AD319" s="196">
        <f t="shared" ca="1" si="126"/>
        <v>115.82710794109487</v>
      </c>
    </row>
    <row r="320" spans="1:30" hidden="1" outlineLevel="1" x14ac:dyDescent="0.3">
      <c r="B320" s="174" t="s">
        <v>116</v>
      </c>
      <c r="G320" s="196">
        <f>-G441</f>
        <v>-18.264455999999999</v>
      </c>
      <c r="H320" s="196">
        <f t="shared" ref="H320:AD320" si="127">-H441</f>
        <v>-18.672925021027201</v>
      </c>
      <c r="I320" s="196">
        <f t="shared" si="127"/>
        <v>-19.076405215112377</v>
      </c>
      <c r="J320" s="196">
        <f t="shared" si="127"/>
        <v>-19.475873187762609</v>
      </c>
      <c r="K320" s="196">
        <f t="shared" si="127"/>
        <v>-19.872285494701774</v>
      </c>
      <c r="L320" s="196">
        <f t="shared" si="127"/>
        <v>-20.26658010061783</v>
      </c>
      <c r="M320" s="196">
        <f t="shared" si="127"/>
        <v>-20.659677802021175</v>
      </c>
      <c r="N320" s="196">
        <f t="shared" si="127"/>
        <v>-21.052483616258488</v>
      </c>
      <c r="O320" s="196">
        <f t="shared" si="127"/>
        <v>-21.445888138669478</v>
      </c>
      <c r="P320" s="196">
        <f t="shared" si="127"/>
        <v>-21.840768869819797</v>
      </c>
      <c r="Q320" s="196">
        <f t="shared" si="127"/>
        <v>-22.237991514692112</v>
      </c>
      <c r="R320" s="196">
        <f t="shared" si="127"/>
        <v>-22.638411255668526</v>
      </c>
      <c r="S320" s="196">
        <f t="shared" si="127"/>
        <v>-20.836770372355819</v>
      </c>
      <c r="T320" s="196">
        <f t="shared" si="127"/>
        <v>-21.302569929015736</v>
      </c>
      <c r="U320" s="196">
        <f t="shared" si="127"/>
        <v>-21.772642576207502</v>
      </c>
      <c r="V320" s="196">
        <f t="shared" si="127"/>
        <v>-22.247655499115378</v>
      </c>
      <c r="W320" s="196">
        <f t="shared" si="127"/>
        <v>-22.728270151584695</v>
      </c>
      <c r="X320" s="196">
        <f t="shared" si="127"/>
        <v>-23.215143098283146</v>
      </c>
      <c r="Y320" s="196">
        <f t="shared" si="127"/>
        <v>-23.708926840568015</v>
      </c>
      <c r="Z320" s="196">
        <f t="shared" si="127"/>
        <v>-24.210270627174896</v>
      </c>
      <c r="AA320" s="196">
        <f t="shared" si="127"/>
        <v>-24.719821250813094</v>
      </c>
      <c r="AB320" s="196">
        <f t="shared" si="127"/>
        <v>-25.238223831724053</v>
      </c>
      <c r="AC320" s="196">
        <f t="shared" si="127"/>
        <v>-25.766122589231887</v>
      </c>
      <c r="AD320" s="196">
        <f t="shared" si="127"/>
        <v>-26.304161602289184</v>
      </c>
    </row>
    <row r="321" spans="2:30" hidden="1" outlineLevel="1" x14ac:dyDescent="0.3">
      <c r="B321" s="174" t="s">
        <v>279</v>
      </c>
      <c r="G321" s="292">
        <f>SUM(G319:G320)</f>
        <v>4.2627159999999087</v>
      </c>
      <c r="H321" s="292">
        <f t="shared" ref="H321:AD321" ca="1" si="128">SUM(H319:H320)</f>
        <v>-3.7561331143944905</v>
      </c>
      <c r="I321" s="292">
        <f t="shared" ca="1" si="128"/>
        <v>-10.443218528459955</v>
      </c>
      <c r="J321" s="292">
        <f t="shared" ca="1" si="128"/>
        <v>-17.150978034105719</v>
      </c>
      <c r="K321" s="292">
        <f t="shared" ca="1" si="128"/>
        <v>-23.849156908985695</v>
      </c>
      <c r="L321" s="292">
        <f t="shared" ca="1" si="128"/>
        <v>-30.507882103056872</v>
      </c>
      <c r="M321" s="292">
        <f t="shared" ca="1" si="128"/>
        <v>-37.097618784153326</v>
      </c>
      <c r="N321" s="292">
        <f t="shared" ca="1" si="128"/>
        <v>-43.589127684986394</v>
      </c>
      <c r="O321" s="292">
        <f t="shared" ca="1" si="128"/>
        <v>-49.953423192401033</v>
      </c>
      <c r="P321" s="292">
        <f t="shared" ca="1" si="128"/>
        <v>-56.161732121012591</v>
      </c>
      <c r="Q321" s="292">
        <f t="shared" ca="1" si="128"/>
        <v>-62.18545311465418</v>
      </c>
      <c r="R321" s="292">
        <f t="shared" ca="1" si="128"/>
        <v>-67.996116620255151</v>
      </c>
      <c r="S321" s="292">
        <f t="shared" ca="1" si="128"/>
        <v>-49.047605679401698</v>
      </c>
      <c r="T321" s="292">
        <f t="shared" ca="1" si="128"/>
        <v>-38.591335914755916</v>
      </c>
      <c r="U321" s="292">
        <f t="shared" ca="1" si="128"/>
        <v>-27.638479577730166</v>
      </c>
      <c r="V321" s="292">
        <f t="shared" ca="1" si="128"/>
        <v>-16.276177289972178</v>
      </c>
      <c r="W321" s="292">
        <f t="shared" ca="1" si="128"/>
        <v>-4.47005306712974</v>
      </c>
      <c r="X321" s="292">
        <f t="shared" ca="1" si="128"/>
        <v>7.8072026533887602</v>
      </c>
      <c r="Y321" s="292">
        <f t="shared" ca="1" si="128"/>
        <v>20.583215549657542</v>
      </c>
      <c r="Z321" s="292">
        <f t="shared" ca="1" si="128"/>
        <v>33.885954637331665</v>
      </c>
      <c r="AA321" s="292">
        <f t="shared" ca="1" si="128"/>
        <v>47.743759711406824</v>
      </c>
      <c r="AB321" s="292">
        <f t="shared" ca="1" si="128"/>
        <v>62.185369033216844</v>
      </c>
      <c r="AC321" s="292">
        <f t="shared" ca="1" si="128"/>
        <v>78.599825980672193</v>
      </c>
      <c r="AD321" s="292">
        <f t="shared" ca="1" si="128"/>
        <v>89.522946338805681</v>
      </c>
    </row>
    <row r="322" spans="2:30" hidden="1" outlineLevel="1" x14ac:dyDescent="0.3">
      <c r="B322" s="174"/>
    </row>
    <row r="323" spans="2:30" hidden="1" outlineLevel="1" x14ac:dyDescent="0.3">
      <c r="B323" s="172" t="s">
        <v>137</v>
      </c>
    </row>
    <row r="324" spans="2:30" hidden="1" outlineLevel="1" x14ac:dyDescent="0.3">
      <c r="B324" s="174" t="s">
        <v>117</v>
      </c>
      <c r="G324" s="196">
        <f>IF(Inputs!E183&gt;0,Inputs!E183,'Operational Model'!F326)</f>
        <v>3850</v>
      </c>
      <c r="H324" s="196">
        <f>IF(Inputs!F183&gt;0,Inputs!F183,'Operational Model'!G326)</f>
        <v>3854.2627159999997</v>
      </c>
      <c r="I324" s="196">
        <f ca="1">IF(Inputs!G183&gt;0,Inputs!G183,'Operational Model'!H326)</f>
        <v>3850.5065828856054</v>
      </c>
      <c r="J324" s="196">
        <f ca="1">IF(Inputs!H183&gt;0,Inputs!H183,'Operational Model'!I326)</f>
        <v>3840.0633643571455</v>
      </c>
      <c r="K324" s="196">
        <f ca="1">IF(Inputs!I183&gt;0,Inputs!I183,'Operational Model'!J326)</f>
        <v>3822.9123863230398</v>
      </c>
      <c r="L324" s="196">
        <f ca="1">IF(Inputs!J183&gt;0,Inputs!J183,'Operational Model'!K326)</f>
        <v>3799.0632294140541</v>
      </c>
      <c r="M324" s="196">
        <f ca="1">IF(Inputs!K183&gt;0,Inputs!K183,'Operational Model'!L326)</f>
        <v>3768.5553473109971</v>
      </c>
      <c r="N324" s="196">
        <f ca="1">IF(Inputs!L183&gt;0,Inputs!L183,'Operational Model'!M326)</f>
        <v>3731.4577285268438</v>
      </c>
      <c r="O324" s="196">
        <f ca="1">IF(Inputs!M183&gt;0,Inputs!M183,'Operational Model'!N326)</f>
        <v>3687.8686008418572</v>
      </c>
      <c r="P324" s="196">
        <f ca="1">IF(Inputs!N183&gt;0,Inputs!N183,'Operational Model'!O326)</f>
        <v>3637.9151776494564</v>
      </c>
      <c r="Q324" s="196">
        <f ca="1">IF(Inputs!O183&gt;0,Inputs!O183,'Operational Model'!P326)</f>
        <v>3581.753445528444</v>
      </c>
      <c r="R324" s="196">
        <f ca="1">IF(Inputs!P183&gt;0,Inputs!P183,'Operational Model'!Q326)</f>
        <v>3519.5679924137899</v>
      </c>
      <c r="S324" s="196">
        <f ca="1">IF(Inputs!Q183&gt;0,Inputs!Q183,'Operational Model'!R326)</f>
        <v>3451.5718757935347</v>
      </c>
      <c r="T324" s="196">
        <f ca="1">IF(Inputs!R183&gt;0,Inputs!R183,'Operational Model'!S326)</f>
        <v>3402.5242701141328</v>
      </c>
      <c r="U324" s="196">
        <f ca="1">IF(Inputs!S183&gt;0,Inputs!S183,'Operational Model'!T326)</f>
        <v>3363.9329341993771</v>
      </c>
      <c r="V324" s="196">
        <f ca="1">IF(Inputs!T183&gt;0,Inputs!T183,'Operational Model'!U326)</f>
        <v>3336.2944546216468</v>
      </c>
      <c r="W324" s="196">
        <f ca="1">IF(Inputs!U183&gt;0,Inputs!U183,'Operational Model'!V326)</f>
        <v>3320.0182773316747</v>
      </c>
      <c r="X324" s="196">
        <f ca="1">IF(Inputs!V183&gt;0,Inputs!V183,'Operational Model'!W326)</f>
        <v>3315.5482242645448</v>
      </c>
      <c r="Y324" s="196">
        <f ca="1">IF(Inputs!W183&gt;0,Inputs!W183,'Operational Model'!X326)</f>
        <v>3323.3554269179335</v>
      </c>
      <c r="Z324" s="196">
        <f ca="1">IF(Inputs!X183&gt;0,Inputs!X183,'Operational Model'!Y326)</f>
        <v>3343.9386424675909</v>
      </c>
      <c r="AA324" s="196">
        <f ca="1">IF(Inputs!Y183&gt;0,Inputs!Y183,'Operational Model'!Z326)</f>
        <v>3377.8245971049223</v>
      </c>
      <c r="AB324" s="196">
        <f ca="1">IF(Inputs!Z183&gt;0,Inputs!Z183,'Operational Model'!AA326)</f>
        <v>3425.568356816329</v>
      </c>
      <c r="AC324" s="196">
        <f ca="1">IF(Inputs!AA183&gt;0,Inputs!AA183,'Operational Model'!AB326)</f>
        <v>3487.7537258495458</v>
      </c>
      <c r="AD324" s="196">
        <f ca="1">IF(Inputs!AB183&gt;0,Inputs!AB183,'Operational Model'!AC326)</f>
        <v>3566.3535518302178</v>
      </c>
    </row>
    <row r="325" spans="2:30" hidden="1" outlineLevel="1" x14ac:dyDescent="0.3">
      <c r="B325" s="174" t="s">
        <v>279</v>
      </c>
      <c r="G325" s="196">
        <f t="shared" ref="G325:AD325" si="129">G321</f>
        <v>4.2627159999999087</v>
      </c>
      <c r="H325" s="196">
        <f t="shared" ca="1" si="129"/>
        <v>-3.7561331143944905</v>
      </c>
      <c r="I325" s="196">
        <f t="shared" ca="1" si="129"/>
        <v>-10.443218528459955</v>
      </c>
      <c r="J325" s="196">
        <f t="shared" ca="1" si="129"/>
        <v>-17.150978034105719</v>
      </c>
      <c r="K325" s="196">
        <f t="shared" ca="1" si="129"/>
        <v>-23.849156908985695</v>
      </c>
      <c r="L325" s="196">
        <f t="shared" ca="1" si="129"/>
        <v>-30.507882103056872</v>
      </c>
      <c r="M325" s="196">
        <f t="shared" ca="1" si="129"/>
        <v>-37.097618784153326</v>
      </c>
      <c r="N325" s="196">
        <f t="shared" ca="1" si="129"/>
        <v>-43.589127684986394</v>
      </c>
      <c r="O325" s="196">
        <f t="shared" ca="1" si="129"/>
        <v>-49.953423192401033</v>
      </c>
      <c r="P325" s="196">
        <f t="shared" ca="1" si="129"/>
        <v>-56.161732121012591</v>
      </c>
      <c r="Q325" s="196">
        <f t="shared" ca="1" si="129"/>
        <v>-62.18545311465418</v>
      </c>
      <c r="R325" s="196">
        <f t="shared" ca="1" si="129"/>
        <v>-67.996116620255151</v>
      </c>
      <c r="S325" s="196">
        <f t="shared" ca="1" si="129"/>
        <v>-49.047605679401698</v>
      </c>
      <c r="T325" s="196">
        <f t="shared" ca="1" si="129"/>
        <v>-38.591335914755916</v>
      </c>
      <c r="U325" s="196">
        <f t="shared" ca="1" si="129"/>
        <v>-27.638479577730166</v>
      </c>
      <c r="V325" s="196">
        <f t="shared" ca="1" si="129"/>
        <v>-16.276177289972178</v>
      </c>
      <c r="W325" s="196">
        <f t="shared" ca="1" si="129"/>
        <v>-4.47005306712974</v>
      </c>
      <c r="X325" s="196">
        <f t="shared" ca="1" si="129"/>
        <v>7.8072026533887602</v>
      </c>
      <c r="Y325" s="196">
        <f t="shared" ca="1" si="129"/>
        <v>20.583215549657542</v>
      </c>
      <c r="Z325" s="196">
        <f t="shared" ca="1" si="129"/>
        <v>33.885954637331665</v>
      </c>
      <c r="AA325" s="196">
        <f t="shared" ca="1" si="129"/>
        <v>47.743759711406824</v>
      </c>
      <c r="AB325" s="196">
        <f t="shared" ca="1" si="129"/>
        <v>62.185369033216844</v>
      </c>
      <c r="AC325" s="196">
        <f t="shared" ca="1" si="129"/>
        <v>78.599825980672193</v>
      </c>
      <c r="AD325" s="196">
        <f t="shared" ca="1" si="129"/>
        <v>89.522946338805681</v>
      </c>
    </row>
    <row r="326" spans="2:30" hidden="1" outlineLevel="1" x14ac:dyDescent="0.3">
      <c r="B326" s="174" t="s">
        <v>135</v>
      </c>
      <c r="G326" s="292">
        <f>SUM(G324:G325)</f>
        <v>3854.2627159999997</v>
      </c>
      <c r="H326" s="292">
        <f t="shared" ref="H326:AD326" ca="1" si="130">SUM(H324:H325)</f>
        <v>3850.5065828856054</v>
      </c>
      <c r="I326" s="292">
        <f t="shared" ca="1" si="130"/>
        <v>3840.0633643571455</v>
      </c>
      <c r="J326" s="292">
        <f t="shared" ca="1" si="130"/>
        <v>3822.9123863230398</v>
      </c>
      <c r="K326" s="292">
        <f t="shared" ca="1" si="130"/>
        <v>3799.0632294140541</v>
      </c>
      <c r="L326" s="292">
        <f t="shared" ca="1" si="130"/>
        <v>3768.5553473109971</v>
      </c>
      <c r="M326" s="292">
        <f t="shared" ca="1" si="130"/>
        <v>3731.4577285268438</v>
      </c>
      <c r="N326" s="292">
        <f t="shared" ca="1" si="130"/>
        <v>3687.8686008418572</v>
      </c>
      <c r="O326" s="292">
        <f t="shared" ca="1" si="130"/>
        <v>3637.9151776494564</v>
      </c>
      <c r="P326" s="292">
        <f t="shared" ca="1" si="130"/>
        <v>3581.753445528444</v>
      </c>
      <c r="Q326" s="292">
        <f t="shared" ca="1" si="130"/>
        <v>3519.5679924137899</v>
      </c>
      <c r="R326" s="292">
        <f t="shared" ca="1" si="130"/>
        <v>3451.5718757935347</v>
      </c>
      <c r="S326" s="292">
        <f t="shared" ca="1" si="130"/>
        <v>3402.5242701141328</v>
      </c>
      <c r="T326" s="292">
        <f t="shared" ca="1" si="130"/>
        <v>3363.9329341993771</v>
      </c>
      <c r="U326" s="292">
        <f t="shared" ca="1" si="130"/>
        <v>3336.2944546216468</v>
      </c>
      <c r="V326" s="292">
        <f t="shared" ca="1" si="130"/>
        <v>3320.0182773316747</v>
      </c>
      <c r="W326" s="292">
        <f t="shared" ca="1" si="130"/>
        <v>3315.5482242645448</v>
      </c>
      <c r="X326" s="292">
        <f t="shared" ca="1" si="130"/>
        <v>3323.3554269179335</v>
      </c>
      <c r="Y326" s="292">
        <f t="shared" ca="1" si="130"/>
        <v>3343.9386424675909</v>
      </c>
      <c r="Z326" s="292">
        <f t="shared" ca="1" si="130"/>
        <v>3377.8245971049223</v>
      </c>
      <c r="AA326" s="292">
        <f t="shared" ca="1" si="130"/>
        <v>3425.568356816329</v>
      </c>
      <c r="AB326" s="292">
        <f t="shared" ca="1" si="130"/>
        <v>3487.7537258495458</v>
      </c>
      <c r="AC326" s="292">
        <f t="shared" ca="1" si="130"/>
        <v>3566.3535518302178</v>
      </c>
      <c r="AD326" s="292">
        <f t="shared" ca="1" si="130"/>
        <v>3655.8764981690233</v>
      </c>
    </row>
    <row r="327" spans="2:30" hidden="1" outlineLevel="1" x14ac:dyDescent="0.3">
      <c r="B327" s="174"/>
      <c r="G327" s="297"/>
      <c r="H327" s="297"/>
      <c r="I327" s="297"/>
      <c r="J327" s="297"/>
      <c r="K327" s="297"/>
      <c r="L327" s="297"/>
      <c r="M327" s="297"/>
      <c r="N327" s="297"/>
      <c r="O327" s="297"/>
      <c r="P327" s="297"/>
      <c r="Q327" s="297"/>
      <c r="R327" s="297"/>
      <c r="S327" s="297"/>
      <c r="T327" s="297"/>
      <c r="U327" s="297"/>
      <c r="V327" s="297"/>
      <c r="W327" s="297"/>
      <c r="X327" s="297"/>
      <c r="Y327" s="297"/>
      <c r="Z327" s="297"/>
      <c r="AA327" s="297"/>
      <c r="AB327" s="297"/>
      <c r="AC327" s="297"/>
      <c r="AD327" s="297"/>
    </row>
    <row r="328" spans="2:30" hidden="1" outlineLevel="1" x14ac:dyDescent="0.3">
      <c r="B328" s="192" t="s">
        <v>140</v>
      </c>
      <c r="G328" s="297"/>
      <c r="H328" s="297"/>
      <c r="I328" s="297"/>
      <c r="J328" s="297"/>
      <c r="K328" s="297"/>
      <c r="L328" s="297"/>
      <c r="M328" s="297"/>
      <c r="N328" s="297"/>
      <c r="O328" s="297"/>
      <c r="P328" s="297"/>
      <c r="Q328" s="297"/>
      <c r="R328" s="297"/>
      <c r="S328" s="297"/>
      <c r="T328" s="297"/>
      <c r="U328" s="297"/>
      <c r="V328" s="297"/>
      <c r="W328" s="297"/>
      <c r="X328" s="297"/>
      <c r="Y328" s="297"/>
      <c r="Z328" s="297"/>
      <c r="AA328" s="297"/>
      <c r="AB328" s="297"/>
      <c r="AC328" s="297"/>
      <c r="AD328" s="297"/>
    </row>
    <row r="329" spans="2:30" hidden="1" outlineLevel="1" x14ac:dyDescent="0.3">
      <c r="B329" s="174" t="s">
        <v>147</v>
      </c>
      <c r="G329" s="297">
        <f>IF(Inputs!E183&gt;0,Inputs!E183,'Operational Model'!F332)</f>
        <v>3850</v>
      </c>
      <c r="H329" s="297">
        <f ca="1">IF(Inputs!F183&gt;0,Inputs!F183,'Operational Model'!G332)</f>
        <v>3854.2627159999997</v>
      </c>
      <c r="I329" s="297">
        <f ca="1">IF(Inputs!G183&gt;0,Inputs!G183,'Operational Model'!H332)</f>
        <v>3850.5065828856054</v>
      </c>
      <c r="J329" s="297">
        <f ca="1">IF(Inputs!H183&gt;0,Inputs!H183,'Operational Model'!I332)</f>
        <v>3840.0633643571455</v>
      </c>
      <c r="K329" s="297">
        <f ca="1">IF(Inputs!I183&gt;0,Inputs!I183,'Operational Model'!J332)</f>
        <v>3822.9123863230398</v>
      </c>
      <c r="L329" s="297">
        <f ca="1">IF(Inputs!J183&gt;0,Inputs!J183,'Operational Model'!K332)</f>
        <v>3799.0632294140541</v>
      </c>
      <c r="M329" s="297">
        <f ca="1">IF(Inputs!K183&gt;0,Inputs!K183,'Operational Model'!L332)</f>
        <v>3768.5553473109971</v>
      </c>
      <c r="N329" s="297">
        <f ca="1">IF(Inputs!L183&gt;0,Inputs!L183,'Operational Model'!M332)</f>
        <v>3731.4577285268438</v>
      </c>
      <c r="O329" s="297">
        <f ca="1">IF(Inputs!M183&gt;0,Inputs!M183,'Operational Model'!N332)</f>
        <v>3687.8686008418572</v>
      </c>
      <c r="P329" s="297">
        <f ca="1">IF(Inputs!N183&gt;0,Inputs!N183,'Operational Model'!O332)</f>
        <v>3637.9151776494564</v>
      </c>
      <c r="Q329" s="297">
        <f ca="1">IF(Inputs!O183&gt;0,Inputs!O183,'Operational Model'!P332)</f>
        <v>3581.753445528444</v>
      </c>
      <c r="R329" s="297">
        <f ca="1">IF(Inputs!P183&gt;0,Inputs!P183,'Operational Model'!Q332)</f>
        <v>3519.5679924137899</v>
      </c>
      <c r="S329" s="297">
        <f ca="1">IF(Inputs!Q183&gt;0,Inputs!Q183,'Operational Model'!R332)</f>
        <v>3451.5718757935347</v>
      </c>
      <c r="T329" s="297">
        <f ca="1">IF(Inputs!R183&gt;0,Inputs!R183,'Operational Model'!S332)</f>
        <v>3402.5242701141328</v>
      </c>
      <c r="U329" s="297">
        <f ca="1">IF(Inputs!S183&gt;0,Inputs!S183,'Operational Model'!T332)</f>
        <v>3363.9329341993771</v>
      </c>
      <c r="V329" s="297">
        <f ca="1">IF(Inputs!T183&gt;0,Inputs!T183,'Operational Model'!U332)</f>
        <v>3336.2944546216468</v>
      </c>
      <c r="W329" s="297">
        <f ca="1">IF(Inputs!U183&gt;0,Inputs!U183,'Operational Model'!V332)</f>
        <v>3320.0182773316747</v>
      </c>
      <c r="X329" s="297">
        <f ca="1">IF(Inputs!V183&gt;0,Inputs!V183,'Operational Model'!W332)</f>
        <v>3315.5482242645448</v>
      </c>
      <c r="Y329" s="297">
        <f ca="1">IF(Inputs!W183&gt;0,Inputs!W183,'Operational Model'!X332)</f>
        <v>3323.3554269179335</v>
      </c>
      <c r="Z329" s="297">
        <f ca="1">IF(Inputs!X183&gt;0,Inputs!X183,'Operational Model'!Y332)</f>
        <v>3343.9386424675909</v>
      </c>
      <c r="AA329" s="297">
        <f ca="1">IF(Inputs!Y183&gt;0,Inputs!Y183,'Operational Model'!Z332)</f>
        <v>3377.8245971049223</v>
      </c>
      <c r="AB329" s="297">
        <f ca="1">IF(Inputs!Z183&gt;0,Inputs!Z183,'Operational Model'!AA332)</f>
        <v>3425.568356816329</v>
      </c>
      <c r="AC329" s="297">
        <f ca="1">IF(Inputs!AA183&gt;0,Inputs!AA183,'Operational Model'!AB332)</f>
        <v>3487.7537258495458</v>
      </c>
      <c r="AD329" s="297">
        <f ca="1">IF(Inputs!AB183&gt;0,Inputs!AB183,'Operational Model'!AC332)</f>
        <v>3566.3535518302178</v>
      </c>
    </row>
    <row r="330" spans="2:30" hidden="1" outlineLevel="1" x14ac:dyDescent="0.3">
      <c r="B330" s="174" t="s">
        <v>279</v>
      </c>
      <c r="G330" s="297">
        <f t="shared" ref="G330:AD330" si="131">G321</f>
        <v>4.2627159999999087</v>
      </c>
      <c r="H330" s="297">
        <f t="shared" ca="1" si="131"/>
        <v>-3.7561331143944905</v>
      </c>
      <c r="I330" s="297">
        <f t="shared" ca="1" si="131"/>
        <v>-10.443218528459955</v>
      </c>
      <c r="J330" s="297">
        <f t="shared" ca="1" si="131"/>
        <v>-17.150978034105719</v>
      </c>
      <c r="K330" s="297">
        <f t="shared" ca="1" si="131"/>
        <v>-23.849156908985695</v>
      </c>
      <c r="L330" s="297">
        <f t="shared" ca="1" si="131"/>
        <v>-30.507882103056872</v>
      </c>
      <c r="M330" s="297">
        <f t="shared" ca="1" si="131"/>
        <v>-37.097618784153326</v>
      </c>
      <c r="N330" s="297">
        <f t="shared" ca="1" si="131"/>
        <v>-43.589127684986394</v>
      </c>
      <c r="O330" s="297">
        <f t="shared" ca="1" si="131"/>
        <v>-49.953423192401033</v>
      </c>
      <c r="P330" s="297">
        <f t="shared" ca="1" si="131"/>
        <v>-56.161732121012591</v>
      </c>
      <c r="Q330" s="297">
        <f t="shared" ca="1" si="131"/>
        <v>-62.18545311465418</v>
      </c>
      <c r="R330" s="297">
        <f t="shared" ca="1" si="131"/>
        <v>-67.996116620255151</v>
      </c>
      <c r="S330" s="297">
        <f t="shared" ca="1" si="131"/>
        <v>-49.047605679401698</v>
      </c>
      <c r="T330" s="297">
        <f t="shared" ca="1" si="131"/>
        <v>-38.591335914755916</v>
      </c>
      <c r="U330" s="297">
        <f t="shared" ca="1" si="131"/>
        <v>-27.638479577730166</v>
      </c>
      <c r="V330" s="297">
        <f t="shared" ca="1" si="131"/>
        <v>-16.276177289972178</v>
      </c>
      <c r="W330" s="297">
        <f t="shared" ca="1" si="131"/>
        <v>-4.47005306712974</v>
      </c>
      <c r="X330" s="297">
        <f t="shared" ca="1" si="131"/>
        <v>7.8072026533887602</v>
      </c>
      <c r="Y330" s="297">
        <f t="shared" ca="1" si="131"/>
        <v>20.583215549657542</v>
      </c>
      <c r="Z330" s="297">
        <f t="shared" ca="1" si="131"/>
        <v>33.885954637331665</v>
      </c>
      <c r="AA330" s="297">
        <f t="shared" ca="1" si="131"/>
        <v>47.743759711406824</v>
      </c>
      <c r="AB330" s="297">
        <f t="shared" ca="1" si="131"/>
        <v>62.185369033216844</v>
      </c>
      <c r="AC330" s="297">
        <f t="shared" ca="1" si="131"/>
        <v>78.599825980672193</v>
      </c>
      <c r="AD330" s="297">
        <f t="shared" ca="1" si="131"/>
        <v>89.522946338805681</v>
      </c>
    </row>
    <row r="331" spans="2:30" hidden="1" outlineLevel="1" x14ac:dyDescent="0.3">
      <c r="B331" s="174" t="s">
        <v>118</v>
      </c>
      <c r="G331" s="196">
        <f t="shared" ref="G331:AD331" ca="1" si="132">IF(AND(G315=$G$358,$G$355=1),$G$356,0)</f>
        <v>0</v>
      </c>
      <c r="H331" s="196">
        <f t="shared" ca="1" si="132"/>
        <v>0</v>
      </c>
      <c r="I331" s="196">
        <f t="shared" ca="1" si="132"/>
        <v>0</v>
      </c>
      <c r="J331" s="196">
        <f t="shared" ca="1" si="132"/>
        <v>0</v>
      </c>
      <c r="K331" s="196">
        <f t="shared" ca="1" si="132"/>
        <v>0</v>
      </c>
      <c r="L331" s="196">
        <f t="shared" ca="1" si="132"/>
        <v>0</v>
      </c>
      <c r="M331" s="196">
        <f t="shared" ca="1" si="132"/>
        <v>0</v>
      </c>
      <c r="N331" s="196">
        <f t="shared" ca="1" si="132"/>
        <v>0</v>
      </c>
      <c r="O331" s="196">
        <f t="shared" ca="1" si="132"/>
        <v>0</v>
      </c>
      <c r="P331" s="196">
        <f t="shared" ca="1" si="132"/>
        <v>0</v>
      </c>
      <c r="Q331" s="196">
        <f t="shared" ca="1" si="132"/>
        <v>0</v>
      </c>
      <c r="R331" s="196">
        <f t="shared" ca="1" si="132"/>
        <v>0</v>
      </c>
      <c r="S331" s="196">
        <f t="shared" ca="1" si="132"/>
        <v>0</v>
      </c>
      <c r="T331" s="196">
        <f t="shared" ca="1" si="132"/>
        <v>0</v>
      </c>
      <c r="U331" s="196">
        <f t="shared" ca="1" si="132"/>
        <v>0</v>
      </c>
      <c r="V331" s="196">
        <f t="shared" ca="1" si="132"/>
        <v>0</v>
      </c>
      <c r="W331" s="196">
        <f t="shared" ca="1" si="132"/>
        <v>0</v>
      </c>
      <c r="X331" s="196">
        <f t="shared" ca="1" si="132"/>
        <v>0</v>
      </c>
      <c r="Y331" s="196">
        <f t="shared" ca="1" si="132"/>
        <v>0</v>
      </c>
      <c r="Z331" s="196">
        <f t="shared" ca="1" si="132"/>
        <v>0</v>
      </c>
      <c r="AA331" s="196">
        <f t="shared" ca="1" si="132"/>
        <v>0</v>
      </c>
      <c r="AB331" s="196">
        <f t="shared" ca="1" si="132"/>
        <v>0</v>
      </c>
      <c r="AC331" s="196">
        <f t="shared" ca="1" si="132"/>
        <v>0</v>
      </c>
      <c r="AD331" s="196">
        <f t="shared" ca="1" si="132"/>
        <v>0</v>
      </c>
    </row>
    <row r="332" spans="2:30" hidden="1" outlineLevel="1" x14ac:dyDescent="0.3">
      <c r="B332" s="174" t="s">
        <v>136</v>
      </c>
      <c r="G332" s="292">
        <f ca="1">SUM(G329:G331)</f>
        <v>3854.2627159999997</v>
      </c>
      <c r="H332" s="292">
        <f t="shared" ref="H332:AD332" ca="1" si="133">SUM(H329:H331)</f>
        <v>3850.5065828856054</v>
      </c>
      <c r="I332" s="292">
        <f t="shared" ca="1" si="133"/>
        <v>3840.0633643571455</v>
      </c>
      <c r="J332" s="292">
        <f ca="1">SUM(J329:J331)</f>
        <v>3822.9123863230398</v>
      </c>
      <c r="K332" s="292">
        <f t="shared" ca="1" si="133"/>
        <v>3799.0632294140541</v>
      </c>
      <c r="L332" s="292">
        <f t="shared" ca="1" si="133"/>
        <v>3768.5553473109971</v>
      </c>
      <c r="M332" s="292">
        <f t="shared" ca="1" si="133"/>
        <v>3731.4577285268438</v>
      </c>
      <c r="N332" s="292">
        <f t="shared" ca="1" si="133"/>
        <v>3687.8686008418572</v>
      </c>
      <c r="O332" s="292">
        <f t="shared" ca="1" si="133"/>
        <v>3637.9151776494564</v>
      </c>
      <c r="P332" s="292">
        <f t="shared" ca="1" si="133"/>
        <v>3581.753445528444</v>
      </c>
      <c r="Q332" s="292">
        <f t="shared" ca="1" si="133"/>
        <v>3519.5679924137899</v>
      </c>
      <c r="R332" s="292">
        <f t="shared" ca="1" si="133"/>
        <v>3451.5718757935347</v>
      </c>
      <c r="S332" s="292">
        <f t="shared" ca="1" si="133"/>
        <v>3402.5242701141328</v>
      </c>
      <c r="T332" s="292">
        <f t="shared" ca="1" si="133"/>
        <v>3363.9329341993771</v>
      </c>
      <c r="U332" s="292">
        <f t="shared" ca="1" si="133"/>
        <v>3336.2944546216468</v>
      </c>
      <c r="V332" s="292">
        <f t="shared" ca="1" si="133"/>
        <v>3320.0182773316747</v>
      </c>
      <c r="W332" s="292">
        <f t="shared" ca="1" si="133"/>
        <v>3315.5482242645448</v>
      </c>
      <c r="X332" s="292">
        <f t="shared" ca="1" si="133"/>
        <v>3323.3554269179335</v>
      </c>
      <c r="Y332" s="292">
        <f t="shared" ca="1" si="133"/>
        <v>3343.9386424675909</v>
      </c>
      <c r="Z332" s="292">
        <f t="shared" ca="1" si="133"/>
        <v>3377.8245971049223</v>
      </c>
      <c r="AA332" s="292">
        <f t="shared" ca="1" si="133"/>
        <v>3425.568356816329</v>
      </c>
      <c r="AB332" s="292">
        <f t="shared" ca="1" si="133"/>
        <v>3487.7537258495458</v>
      </c>
      <c r="AC332" s="292">
        <f t="shared" ca="1" si="133"/>
        <v>3566.3535518302178</v>
      </c>
      <c r="AD332" s="292">
        <f t="shared" ca="1" si="133"/>
        <v>3655.8764981690233</v>
      </c>
    </row>
    <row r="333" spans="2:30" hidden="1" outlineLevel="1" x14ac:dyDescent="0.3">
      <c r="B333" s="174"/>
    </row>
    <row r="334" spans="2:30" hidden="1" outlineLevel="1" x14ac:dyDescent="0.3">
      <c r="B334" s="172" t="s">
        <v>119</v>
      </c>
    </row>
    <row r="335" spans="2:30" hidden="1" outlineLevel="1" x14ac:dyDescent="0.3">
      <c r="B335" s="174" t="s">
        <v>162</v>
      </c>
      <c r="G335" s="294">
        <f t="shared" ref="G335:AD335" si="134">G22</f>
        <v>-43.758478666666747</v>
      </c>
      <c r="H335" s="292">
        <f t="shared" si="134"/>
        <v>-49.184495086867628</v>
      </c>
      <c r="I335" s="295">
        <f t="shared" si="134"/>
        <v>-54.787614863510726</v>
      </c>
      <c r="J335" s="292">
        <f t="shared" si="134"/>
        <v>-60.533168501093996</v>
      </c>
      <c r="K335" s="292">
        <f t="shared" si="134"/>
        <v>-66.387198271420289</v>
      </c>
      <c r="L335" s="295">
        <f t="shared" si="134"/>
        <v>-72.316406428067125</v>
      </c>
      <c r="M335" s="292">
        <f t="shared" si="134"/>
        <v>-78.28810469491475</v>
      </c>
      <c r="N335" s="292">
        <f t="shared" si="134"/>
        <v>-84.270164956156805</v>
      </c>
      <c r="O335" s="295">
        <f t="shared" si="134"/>
        <v>-90.230971077233335</v>
      </c>
      <c r="P335" s="292">
        <f t="shared" si="134"/>
        <v>-96.139371788063727</v>
      </c>
      <c r="Q335" s="292">
        <f t="shared" si="134"/>
        <v>-101.96463456176343</v>
      </c>
      <c r="R335" s="295">
        <f t="shared" si="134"/>
        <v>-107.67640042376752</v>
      </c>
      <c r="S335" s="292">
        <f t="shared" si="134"/>
        <v>-101.97330527125871</v>
      </c>
      <c r="T335" s="292">
        <f t="shared" si="134"/>
        <v>-91.088809482376178</v>
      </c>
      <c r="U335" s="295">
        <f t="shared" si="134"/>
        <v>-80.078245301968536</v>
      </c>
      <c r="V335" s="292">
        <f t="shared" si="134"/>
        <v>-68.766158424176183</v>
      </c>
      <c r="W335" s="292">
        <f t="shared" si="134"/>
        <v>-57.124443936612806</v>
      </c>
      <c r="X335" s="295">
        <f t="shared" si="134"/>
        <v>-45.124899057754419</v>
      </c>
      <c r="Y335" s="292">
        <f t="shared" si="134"/>
        <v>-32.739192634931442</v>
      </c>
      <c r="Z335" s="292">
        <f t="shared" si="134"/>
        <v>-19.938834703946213</v>
      </c>
      <c r="AA335" s="295">
        <f t="shared" si="134"/>
        <v>-6.6951460782263439</v>
      </c>
      <c r="AB335" s="292">
        <f t="shared" si="134"/>
        <v>7.0207720643636549</v>
      </c>
      <c r="AC335" s="292">
        <f t="shared" si="134"/>
        <v>18.375166118848256</v>
      </c>
      <c r="AD335" s="295">
        <f t="shared" si="134"/>
        <v>30.140803870616764</v>
      </c>
    </row>
    <row r="336" spans="2:30" hidden="1" outlineLevel="1" x14ac:dyDescent="0.3">
      <c r="B336" s="174" t="s">
        <v>279</v>
      </c>
      <c r="G336" s="296">
        <f t="shared" ref="G336:AD336" si="135">G321</f>
        <v>4.2627159999999087</v>
      </c>
      <c r="H336" s="297">
        <f t="shared" ca="1" si="135"/>
        <v>-3.7561331143944905</v>
      </c>
      <c r="I336" s="298">
        <f t="shared" ca="1" si="135"/>
        <v>-10.443218528459955</v>
      </c>
      <c r="J336" s="297">
        <f t="shared" ca="1" si="135"/>
        <v>-17.150978034105719</v>
      </c>
      <c r="K336" s="297">
        <f t="shared" ca="1" si="135"/>
        <v>-23.849156908985695</v>
      </c>
      <c r="L336" s="298">
        <f t="shared" ca="1" si="135"/>
        <v>-30.507882103056872</v>
      </c>
      <c r="M336" s="297">
        <f t="shared" ca="1" si="135"/>
        <v>-37.097618784153326</v>
      </c>
      <c r="N336" s="297">
        <f t="shared" ca="1" si="135"/>
        <v>-43.589127684986394</v>
      </c>
      <c r="O336" s="298">
        <f t="shared" ca="1" si="135"/>
        <v>-49.953423192401033</v>
      </c>
      <c r="P336" s="297">
        <f t="shared" ca="1" si="135"/>
        <v>-56.161732121012591</v>
      </c>
      <c r="Q336" s="297">
        <f t="shared" ca="1" si="135"/>
        <v>-62.18545311465418</v>
      </c>
      <c r="R336" s="298">
        <f t="shared" ca="1" si="135"/>
        <v>-67.996116620255151</v>
      </c>
      <c r="S336" s="297">
        <f t="shared" ca="1" si="135"/>
        <v>-49.047605679401698</v>
      </c>
      <c r="T336" s="297">
        <f t="shared" ca="1" si="135"/>
        <v>-38.591335914755916</v>
      </c>
      <c r="U336" s="298">
        <f t="shared" ca="1" si="135"/>
        <v>-27.638479577730166</v>
      </c>
      <c r="V336" s="297">
        <f t="shared" ca="1" si="135"/>
        <v>-16.276177289972178</v>
      </c>
      <c r="W336" s="297">
        <f t="shared" ca="1" si="135"/>
        <v>-4.47005306712974</v>
      </c>
      <c r="X336" s="298">
        <f t="shared" ca="1" si="135"/>
        <v>7.8072026533887602</v>
      </c>
      <c r="Y336" s="297">
        <f t="shared" ca="1" si="135"/>
        <v>20.583215549657542</v>
      </c>
      <c r="Z336" s="297">
        <f t="shared" ca="1" si="135"/>
        <v>33.885954637331665</v>
      </c>
      <c r="AA336" s="298">
        <f t="shared" ca="1" si="135"/>
        <v>47.743759711406824</v>
      </c>
      <c r="AB336" s="297">
        <f t="shared" ca="1" si="135"/>
        <v>62.185369033216844</v>
      </c>
      <c r="AC336" s="297">
        <f t="shared" ca="1" si="135"/>
        <v>78.599825980672193</v>
      </c>
      <c r="AD336" s="298">
        <f t="shared" ca="1" si="135"/>
        <v>89.522946338805681</v>
      </c>
    </row>
    <row r="337" spans="2:30" hidden="1" outlineLevel="1" x14ac:dyDescent="0.3">
      <c r="B337" s="174" t="s">
        <v>359</v>
      </c>
      <c r="G337" s="404" t="b">
        <f ca="1">MIN(G$336:$AD$336)&gt;=0</f>
        <v>0</v>
      </c>
      <c r="H337" s="405" t="b">
        <f ca="1">MIN(H$336:$AD$336)&gt;=0</f>
        <v>0</v>
      </c>
      <c r="I337" s="406" t="b">
        <f ca="1">MIN(I$336:$AD$336)&gt;=0</f>
        <v>0</v>
      </c>
      <c r="J337" s="405" t="b">
        <f ca="1">MIN(J$336:$AD$336)&gt;=0</f>
        <v>0</v>
      </c>
      <c r="K337" s="405" t="b">
        <f ca="1">MIN(K$336:$AD$336)&gt;=0</f>
        <v>0</v>
      </c>
      <c r="L337" s="406" t="b">
        <f ca="1">MIN(L$336:$AD$336)&gt;=0</f>
        <v>0</v>
      </c>
      <c r="M337" s="405" t="b">
        <f ca="1">MIN(M$336:$AD$336)&gt;=0</f>
        <v>0</v>
      </c>
      <c r="N337" s="405" t="b">
        <f ca="1">MIN(N$336:$AD$336)&gt;=0</f>
        <v>0</v>
      </c>
      <c r="O337" s="406" t="b">
        <f ca="1">MIN(O$336:$AD$336)&gt;=0</f>
        <v>0</v>
      </c>
      <c r="P337" s="405" t="b">
        <f ca="1">MIN(P$336:$AD$336)&gt;=0</f>
        <v>0</v>
      </c>
      <c r="Q337" s="405" t="b">
        <f ca="1">MIN(Q$336:$AD$336)&gt;=0</f>
        <v>0</v>
      </c>
      <c r="R337" s="406" t="b">
        <f ca="1">MIN(R$336:$AD$336)&gt;=0</f>
        <v>0</v>
      </c>
      <c r="S337" s="405" t="b">
        <f ca="1">MIN(S$336:$AD$336)&gt;=0</f>
        <v>0</v>
      </c>
      <c r="T337" s="405" t="b">
        <f ca="1">MIN(T$336:$AD$336)&gt;=0</f>
        <v>0</v>
      </c>
      <c r="U337" s="406" t="b">
        <f ca="1">MIN(U$336:$AD$336)&gt;=0</f>
        <v>0</v>
      </c>
      <c r="V337" s="405" t="b">
        <f ca="1">MIN(V$336:$AD$336)&gt;=0</f>
        <v>0</v>
      </c>
      <c r="W337" s="405" t="b">
        <f ca="1">MIN(W$336:$AD$336)&gt;=0</f>
        <v>0</v>
      </c>
      <c r="X337" s="406" t="b">
        <f ca="1">MIN(X$336:$AD$336)&gt;=0</f>
        <v>1</v>
      </c>
      <c r="Y337" s="405" t="b">
        <f ca="1">MIN(Y$336:$AD$336)&gt;=0</f>
        <v>1</v>
      </c>
      <c r="Z337" s="405" t="b">
        <f ca="1">MIN(Z$336:$AD$336)&gt;=0</f>
        <v>1</v>
      </c>
      <c r="AA337" s="406" t="b">
        <f ca="1">MIN(AA$336:$AD$336)&gt;=0</f>
        <v>1</v>
      </c>
      <c r="AB337" s="405" t="b">
        <f ca="1">MIN(AB$336:$AD$336)&gt;=0</f>
        <v>1</v>
      </c>
      <c r="AC337" s="405" t="b">
        <f ca="1">MIN(AC$336:$AD$336)&gt;=0</f>
        <v>1</v>
      </c>
      <c r="AD337" s="406" t="b">
        <f ca="1">MIN(AD$336:$AD$336)&gt;=0</f>
        <v>1</v>
      </c>
    </row>
    <row r="338" spans="2:30" hidden="1" outlineLevel="1" x14ac:dyDescent="0.3">
      <c r="B338" s="174" t="s">
        <v>135</v>
      </c>
      <c r="G338" s="296">
        <f>G326</f>
        <v>3854.2627159999997</v>
      </c>
      <c r="H338" s="297">
        <f t="shared" ref="H338:AD338" ca="1" si="136">H326</f>
        <v>3850.5065828856054</v>
      </c>
      <c r="I338" s="298">
        <f t="shared" ca="1" si="136"/>
        <v>3840.0633643571455</v>
      </c>
      <c r="J338" s="297">
        <f t="shared" ca="1" si="136"/>
        <v>3822.9123863230398</v>
      </c>
      <c r="K338" s="297">
        <f t="shared" ca="1" si="136"/>
        <v>3799.0632294140541</v>
      </c>
      <c r="L338" s="298">
        <f t="shared" ca="1" si="136"/>
        <v>3768.5553473109971</v>
      </c>
      <c r="M338" s="297">
        <f t="shared" ca="1" si="136"/>
        <v>3731.4577285268438</v>
      </c>
      <c r="N338" s="297">
        <f t="shared" ca="1" si="136"/>
        <v>3687.8686008418572</v>
      </c>
      <c r="O338" s="298">
        <f t="shared" ca="1" si="136"/>
        <v>3637.9151776494564</v>
      </c>
      <c r="P338" s="297">
        <f t="shared" ca="1" si="136"/>
        <v>3581.753445528444</v>
      </c>
      <c r="Q338" s="297">
        <f t="shared" ca="1" si="136"/>
        <v>3519.5679924137899</v>
      </c>
      <c r="R338" s="298">
        <f t="shared" ca="1" si="136"/>
        <v>3451.5718757935347</v>
      </c>
      <c r="S338" s="297">
        <f t="shared" ca="1" si="136"/>
        <v>3402.5242701141328</v>
      </c>
      <c r="T338" s="297">
        <f t="shared" ca="1" si="136"/>
        <v>3363.9329341993771</v>
      </c>
      <c r="U338" s="298">
        <f t="shared" ca="1" si="136"/>
        <v>3336.2944546216468</v>
      </c>
      <c r="V338" s="297">
        <f t="shared" ca="1" si="136"/>
        <v>3320.0182773316747</v>
      </c>
      <c r="W338" s="297">
        <f t="shared" ca="1" si="136"/>
        <v>3315.5482242645448</v>
      </c>
      <c r="X338" s="298">
        <f t="shared" ca="1" si="136"/>
        <v>3323.3554269179335</v>
      </c>
      <c r="Y338" s="297">
        <f t="shared" ca="1" si="136"/>
        <v>3343.9386424675909</v>
      </c>
      <c r="Z338" s="297">
        <f t="shared" ca="1" si="136"/>
        <v>3377.8245971049223</v>
      </c>
      <c r="AA338" s="298">
        <f t="shared" ca="1" si="136"/>
        <v>3425.568356816329</v>
      </c>
      <c r="AB338" s="297">
        <f t="shared" ca="1" si="136"/>
        <v>3487.7537258495458</v>
      </c>
      <c r="AC338" s="297">
        <f t="shared" ca="1" si="136"/>
        <v>3566.3535518302178</v>
      </c>
      <c r="AD338" s="298">
        <f t="shared" ca="1" si="136"/>
        <v>3655.8764981690233</v>
      </c>
    </row>
    <row r="339" spans="2:30" hidden="1" outlineLevel="1" x14ac:dyDescent="0.3">
      <c r="B339" s="174" t="s">
        <v>136</v>
      </c>
      <c r="G339" s="296">
        <f ca="1">G332</f>
        <v>3854.2627159999997</v>
      </c>
      <c r="H339" s="297">
        <f t="shared" ref="H339:AD339" ca="1" si="137">H332</f>
        <v>3850.5065828856054</v>
      </c>
      <c r="I339" s="298">
        <f t="shared" ca="1" si="137"/>
        <v>3840.0633643571455</v>
      </c>
      <c r="J339" s="297">
        <f t="shared" ca="1" si="137"/>
        <v>3822.9123863230398</v>
      </c>
      <c r="K339" s="297">
        <f t="shared" ca="1" si="137"/>
        <v>3799.0632294140541</v>
      </c>
      <c r="L339" s="298">
        <f t="shared" ca="1" si="137"/>
        <v>3768.5553473109971</v>
      </c>
      <c r="M339" s="297">
        <f t="shared" ca="1" si="137"/>
        <v>3731.4577285268438</v>
      </c>
      <c r="N339" s="297">
        <f t="shared" ca="1" si="137"/>
        <v>3687.8686008418572</v>
      </c>
      <c r="O339" s="298">
        <f t="shared" ca="1" si="137"/>
        <v>3637.9151776494564</v>
      </c>
      <c r="P339" s="297">
        <f t="shared" ca="1" si="137"/>
        <v>3581.753445528444</v>
      </c>
      <c r="Q339" s="297">
        <f t="shared" ca="1" si="137"/>
        <v>3519.5679924137899</v>
      </c>
      <c r="R339" s="298">
        <f t="shared" ca="1" si="137"/>
        <v>3451.5718757935347</v>
      </c>
      <c r="S339" s="297">
        <f t="shared" ca="1" si="137"/>
        <v>3402.5242701141328</v>
      </c>
      <c r="T339" s="297">
        <f t="shared" ca="1" si="137"/>
        <v>3363.9329341993771</v>
      </c>
      <c r="U339" s="298">
        <f t="shared" ca="1" si="137"/>
        <v>3336.2944546216468</v>
      </c>
      <c r="V339" s="297">
        <f t="shared" ca="1" si="137"/>
        <v>3320.0182773316747</v>
      </c>
      <c r="W339" s="297">
        <f t="shared" ca="1" si="137"/>
        <v>3315.5482242645448</v>
      </c>
      <c r="X339" s="298">
        <f t="shared" ca="1" si="137"/>
        <v>3323.3554269179335</v>
      </c>
      <c r="Y339" s="297">
        <f t="shared" ca="1" si="137"/>
        <v>3343.9386424675909</v>
      </c>
      <c r="Z339" s="297">
        <f t="shared" ca="1" si="137"/>
        <v>3377.8245971049223</v>
      </c>
      <c r="AA339" s="298">
        <f t="shared" ca="1" si="137"/>
        <v>3425.568356816329</v>
      </c>
      <c r="AB339" s="297">
        <f t="shared" ca="1" si="137"/>
        <v>3487.7537258495458</v>
      </c>
      <c r="AC339" s="297">
        <f t="shared" ca="1" si="137"/>
        <v>3566.3535518302178</v>
      </c>
      <c r="AD339" s="298">
        <f t="shared" ca="1" si="137"/>
        <v>3655.8764981690233</v>
      </c>
    </row>
    <row r="340" spans="2:30" hidden="1" outlineLevel="1" x14ac:dyDescent="0.3">
      <c r="B340" s="174" t="s">
        <v>124</v>
      </c>
      <c r="G340" s="296">
        <f t="shared" ref="G340:AD340" si="138">MAX(-G321,0)</f>
        <v>0</v>
      </c>
      <c r="H340" s="297">
        <f t="shared" ca="1" si="138"/>
        <v>3.7561331143944905</v>
      </c>
      <c r="I340" s="298">
        <f t="shared" ca="1" si="138"/>
        <v>10.443218528459955</v>
      </c>
      <c r="J340" s="297">
        <f t="shared" ca="1" si="138"/>
        <v>17.150978034105719</v>
      </c>
      <c r="K340" s="297">
        <f t="shared" ca="1" si="138"/>
        <v>23.849156908985695</v>
      </c>
      <c r="L340" s="298">
        <f t="shared" ca="1" si="138"/>
        <v>30.507882103056872</v>
      </c>
      <c r="M340" s="297">
        <f t="shared" ca="1" si="138"/>
        <v>37.097618784153326</v>
      </c>
      <c r="N340" s="297">
        <f t="shared" ca="1" si="138"/>
        <v>43.589127684986394</v>
      </c>
      <c r="O340" s="298">
        <f t="shared" ca="1" si="138"/>
        <v>49.953423192401033</v>
      </c>
      <c r="P340" s="297">
        <f t="shared" ca="1" si="138"/>
        <v>56.161732121012591</v>
      </c>
      <c r="Q340" s="297">
        <f t="shared" ca="1" si="138"/>
        <v>62.18545311465418</v>
      </c>
      <c r="R340" s="298">
        <f t="shared" ca="1" si="138"/>
        <v>67.996116620255151</v>
      </c>
      <c r="S340" s="297">
        <f t="shared" ca="1" si="138"/>
        <v>49.047605679401698</v>
      </c>
      <c r="T340" s="297">
        <f t="shared" ca="1" si="138"/>
        <v>38.591335914755916</v>
      </c>
      <c r="U340" s="298">
        <f t="shared" ca="1" si="138"/>
        <v>27.638479577730166</v>
      </c>
      <c r="V340" s="297">
        <f t="shared" ca="1" si="138"/>
        <v>16.276177289972178</v>
      </c>
      <c r="W340" s="297">
        <f t="shared" ca="1" si="138"/>
        <v>4.47005306712974</v>
      </c>
      <c r="X340" s="298">
        <f t="shared" ca="1" si="138"/>
        <v>0</v>
      </c>
      <c r="Y340" s="297">
        <f t="shared" ca="1" si="138"/>
        <v>0</v>
      </c>
      <c r="Z340" s="297">
        <f t="shared" ca="1" si="138"/>
        <v>0</v>
      </c>
      <c r="AA340" s="298">
        <f t="shared" ca="1" si="138"/>
        <v>0</v>
      </c>
      <c r="AB340" s="297">
        <f t="shared" ca="1" si="138"/>
        <v>0</v>
      </c>
      <c r="AC340" s="297">
        <f t="shared" ca="1" si="138"/>
        <v>0</v>
      </c>
      <c r="AD340" s="298">
        <f t="shared" ca="1" si="138"/>
        <v>0</v>
      </c>
    </row>
    <row r="341" spans="2:30" hidden="1" outlineLevel="1" x14ac:dyDescent="0.3">
      <c r="B341" s="174" t="s">
        <v>138</v>
      </c>
      <c r="G341" s="308" t="str">
        <f>IFERROR(G326/G340," ")</f>
        <v xml:space="preserve"> </v>
      </c>
      <c r="H341" s="309">
        <f t="shared" ref="H341:AD341" ca="1" si="139">IFERROR(H326/H340," ")</f>
        <v>1025.1251661261554</v>
      </c>
      <c r="I341" s="310">
        <f t="shared" ca="1" si="139"/>
        <v>367.7088010647455</v>
      </c>
      <c r="J341" s="309">
        <f t="shared" ca="1" si="139"/>
        <v>222.89763176892629</v>
      </c>
      <c r="K341" s="309">
        <f t="shared" ca="1" si="139"/>
        <v>159.29549392090559</v>
      </c>
      <c r="L341" s="310">
        <f t="shared" ca="1" si="139"/>
        <v>123.52726861145796</v>
      </c>
      <c r="M341" s="309">
        <f t="shared" ca="1" si="139"/>
        <v>100.58483134019316</v>
      </c>
      <c r="N341" s="309">
        <f t="shared" ca="1" si="139"/>
        <v>84.605239808735305</v>
      </c>
      <c r="O341" s="310">
        <f t="shared" ca="1" si="139"/>
        <v>72.826143738690959</v>
      </c>
      <c r="P341" s="309">
        <f t="shared" ca="1" si="139"/>
        <v>63.775694058202873</v>
      </c>
      <c r="Q341" s="309">
        <f t="shared" ca="1" si="139"/>
        <v>56.597931125863155</v>
      </c>
      <c r="R341" s="310">
        <f t="shared" ca="1" si="139"/>
        <v>50.761308841648713</v>
      </c>
      <c r="S341" s="309">
        <f t="shared" ca="1" si="139"/>
        <v>69.371872958583083</v>
      </c>
      <c r="T341" s="309">
        <f t="shared" ca="1" si="139"/>
        <v>87.16808720045195</v>
      </c>
      <c r="U341" s="310">
        <f t="shared" ca="1" si="139"/>
        <v>120.71193877502154</v>
      </c>
      <c r="V341" s="309">
        <f t="shared" ca="1" si="139"/>
        <v>203.98022325409002</v>
      </c>
      <c r="W341" s="309">
        <f t="shared" ca="1" si="139"/>
        <v>741.72457786804023</v>
      </c>
      <c r="X341" s="310" t="str">
        <f t="shared" ca="1" si="139"/>
        <v xml:space="preserve"> </v>
      </c>
      <c r="Y341" s="309" t="str">
        <f t="shared" ca="1" si="139"/>
        <v xml:space="preserve"> </v>
      </c>
      <c r="Z341" s="309" t="str">
        <f t="shared" ca="1" si="139"/>
        <v xml:space="preserve"> </v>
      </c>
      <c r="AA341" s="310" t="str">
        <f t="shared" ca="1" si="139"/>
        <v xml:space="preserve"> </v>
      </c>
      <c r="AB341" s="309" t="str">
        <f t="shared" ca="1" si="139"/>
        <v xml:space="preserve"> </v>
      </c>
      <c r="AC341" s="309" t="str">
        <f t="shared" ca="1" si="139"/>
        <v xml:space="preserve"> </v>
      </c>
      <c r="AD341" s="310" t="str">
        <f t="shared" ca="1" si="139"/>
        <v xml:space="preserve"> </v>
      </c>
    </row>
    <row r="342" spans="2:30" hidden="1" outlineLevel="1" x14ac:dyDescent="0.3">
      <c r="B342" s="174" t="s">
        <v>139</v>
      </c>
      <c r="G342" s="326" t="str">
        <f ca="1">IFERROR(G332/G340," ")</f>
        <v xml:space="preserve"> </v>
      </c>
      <c r="H342" s="327">
        <f t="shared" ref="H342:AD342" ca="1" si="140">IFERROR(H332/H340," ")</f>
        <v>1025.1251661261554</v>
      </c>
      <c r="I342" s="328">
        <f t="shared" ca="1" si="140"/>
        <v>367.7088010647455</v>
      </c>
      <c r="J342" s="327">
        <f t="shared" ca="1" si="140"/>
        <v>222.89763176892629</v>
      </c>
      <c r="K342" s="327">
        <f t="shared" ca="1" si="140"/>
        <v>159.29549392090559</v>
      </c>
      <c r="L342" s="328">
        <f t="shared" ca="1" si="140"/>
        <v>123.52726861145796</v>
      </c>
      <c r="M342" s="327">
        <f t="shared" ca="1" si="140"/>
        <v>100.58483134019316</v>
      </c>
      <c r="N342" s="327">
        <f t="shared" ca="1" si="140"/>
        <v>84.605239808735305</v>
      </c>
      <c r="O342" s="328">
        <f t="shared" ca="1" si="140"/>
        <v>72.826143738690959</v>
      </c>
      <c r="P342" s="327">
        <f t="shared" ca="1" si="140"/>
        <v>63.775694058202873</v>
      </c>
      <c r="Q342" s="327">
        <f t="shared" ca="1" si="140"/>
        <v>56.597931125863155</v>
      </c>
      <c r="R342" s="328">
        <f t="shared" ca="1" si="140"/>
        <v>50.761308841648713</v>
      </c>
      <c r="S342" s="327">
        <f t="shared" ca="1" si="140"/>
        <v>69.371872958583083</v>
      </c>
      <c r="T342" s="327">
        <f t="shared" ca="1" si="140"/>
        <v>87.16808720045195</v>
      </c>
      <c r="U342" s="328">
        <f t="shared" ca="1" si="140"/>
        <v>120.71193877502154</v>
      </c>
      <c r="V342" s="327">
        <f t="shared" ca="1" si="140"/>
        <v>203.98022325409002</v>
      </c>
      <c r="W342" s="327">
        <f t="shared" ca="1" si="140"/>
        <v>741.72457786804023</v>
      </c>
      <c r="X342" s="328" t="str">
        <f t="shared" ca="1" si="140"/>
        <v xml:space="preserve"> </v>
      </c>
      <c r="Y342" s="327" t="str">
        <f t="shared" ca="1" si="140"/>
        <v xml:space="preserve"> </v>
      </c>
      <c r="Z342" s="327" t="str">
        <f t="shared" ca="1" si="140"/>
        <v xml:space="preserve"> </v>
      </c>
      <c r="AA342" s="328" t="str">
        <f t="shared" ca="1" si="140"/>
        <v xml:space="preserve"> </v>
      </c>
      <c r="AB342" s="327" t="str">
        <f t="shared" ca="1" si="140"/>
        <v xml:space="preserve"> </v>
      </c>
      <c r="AC342" s="327" t="str">
        <f t="shared" ca="1" si="140"/>
        <v xml:space="preserve"> </v>
      </c>
      <c r="AD342" s="328" t="str">
        <f t="shared" ca="1" si="140"/>
        <v xml:space="preserve"> </v>
      </c>
    </row>
    <row r="343" spans="2:30" hidden="1" outlineLevel="1" x14ac:dyDescent="0.3">
      <c r="B343" s="172"/>
    </row>
    <row r="344" spans="2:30" hidden="1" outlineLevel="1" x14ac:dyDescent="0.3">
      <c r="B344" s="172" t="s">
        <v>146</v>
      </c>
    </row>
    <row r="345" spans="2:30" hidden="1" outlineLevel="1" x14ac:dyDescent="0.3">
      <c r="B345" s="174" t="s">
        <v>141</v>
      </c>
      <c r="G345" s="329">
        <f>G326-(G324+G325)</f>
        <v>0</v>
      </c>
      <c r="H345" s="329">
        <f t="shared" ref="H345:AD345" ca="1" si="141">H326-(H324+H325)</f>
        <v>0</v>
      </c>
      <c r="I345" s="329">
        <f t="shared" ca="1" si="141"/>
        <v>0</v>
      </c>
      <c r="J345" s="329">
        <f t="shared" ca="1" si="141"/>
        <v>0</v>
      </c>
      <c r="K345" s="329">
        <f t="shared" ca="1" si="141"/>
        <v>0</v>
      </c>
      <c r="L345" s="329">
        <f t="shared" ca="1" si="141"/>
        <v>0</v>
      </c>
      <c r="M345" s="329">
        <f t="shared" ca="1" si="141"/>
        <v>0</v>
      </c>
      <c r="N345" s="329">
        <f t="shared" ca="1" si="141"/>
        <v>0</v>
      </c>
      <c r="O345" s="329">
        <f t="shared" ca="1" si="141"/>
        <v>0</v>
      </c>
      <c r="P345" s="329">
        <f t="shared" ca="1" si="141"/>
        <v>0</v>
      </c>
      <c r="Q345" s="329">
        <f t="shared" ca="1" si="141"/>
        <v>0</v>
      </c>
      <c r="R345" s="329">
        <f t="shared" ca="1" si="141"/>
        <v>0</v>
      </c>
      <c r="S345" s="329">
        <f t="shared" ca="1" si="141"/>
        <v>0</v>
      </c>
      <c r="T345" s="329">
        <f t="shared" ca="1" si="141"/>
        <v>0</v>
      </c>
      <c r="U345" s="329">
        <f t="shared" ca="1" si="141"/>
        <v>0</v>
      </c>
      <c r="V345" s="329">
        <f t="shared" ca="1" si="141"/>
        <v>0</v>
      </c>
      <c r="W345" s="329">
        <f t="shared" ca="1" si="141"/>
        <v>0</v>
      </c>
      <c r="X345" s="329">
        <f t="shared" ca="1" si="141"/>
        <v>0</v>
      </c>
      <c r="Y345" s="329">
        <f t="shared" ca="1" si="141"/>
        <v>0</v>
      </c>
      <c r="Z345" s="329">
        <f t="shared" ca="1" si="141"/>
        <v>0</v>
      </c>
      <c r="AA345" s="329">
        <f t="shared" ca="1" si="141"/>
        <v>0</v>
      </c>
      <c r="AB345" s="329">
        <f t="shared" ca="1" si="141"/>
        <v>0</v>
      </c>
      <c r="AC345" s="329">
        <f t="shared" ca="1" si="141"/>
        <v>0</v>
      </c>
      <c r="AD345" s="329">
        <f t="shared" ca="1" si="141"/>
        <v>0</v>
      </c>
    </row>
    <row r="346" spans="2:30" hidden="1" outlineLevel="1" x14ac:dyDescent="0.3">
      <c r="B346" s="174" t="s">
        <v>144</v>
      </c>
      <c r="G346" s="329">
        <f>IF(ABS(G324-IF(F326="",Inputs!$E$183,'Operational Model'!F326))&lt;0.001,0,G324-IF(F326="",Inputs!$E$183,'Operational Model'!F326))</f>
        <v>0</v>
      </c>
      <c r="H346" s="329">
        <f>IF(ABS(H324-IF(G326="",Inputs!$E$183,'Operational Model'!G326))&lt;0.001,0,H324-IF(G326="",Inputs!$E$183,'Operational Model'!G326))</f>
        <v>0</v>
      </c>
      <c r="I346" s="329">
        <f ca="1">IF(ABS(I324-IF(H326="",Inputs!$E$183,'Operational Model'!H326))&lt;0.001,0,I324-IF(H326="",Inputs!$E$183,'Operational Model'!H326))</f>
        <v>0</v>
      </c>
      <c r="J346" s="329">
        <f ca="1">IF(ABS(J324-IF(I326="",Inputs!$E$183,'Operational Model'!I326))&lt;0.001,0,J324-IF(I326="",Inputs!$E$183,'Operational Model'!I326))</f>
        <v>0</v>
      </c>
      <c r="K346" s="329">
        <f ca="1">IF(ABS(K324-IF(J326="",Inputs!$E$183,'Operational Model'!J326))&lt;0.001,0,K324-IF(J326="",Inputs!$E$183,'Operational Model'!J326))</f>
        <v>0</v>
      </c>
      <c r="L346" s="329">
        <f ca="1">IF(ABS(L324-IF(K326="",Inputs!$E$183,'Operational Model'!K326))&lt;0.001,0,L324-IF(K326="",Inputs!$E$183,'Operational Model'!K326))</f>
        <v>0</v>
      </c>
      <c r="M346" s="329">
        <f ca="1">IF(ABS(M324-IF(L326="",Inputs!$E$183,'Operational Model'!L326))&lt;0.001,0,M324-IF(L326="",Inputs!$E$183,'Operational Model'!L326))</f>
        <v>0</v>
      </c>
      <c r="N346" s="329">
        <f ca="1">IF(ABS(N324-IF(M326="",Inputs!$E$183,'Operational Model'!M326))&lt;0.001,0,N324-IF(M326="",Inputs!$E$183,'Operational Model'!M326))</f>
        <v>0</v>
      </c>
      <c r="O346" s="329">
        <f ca="1">IF(ABS(O324-IF(N326="",Inputs!$E$183,'Operational Model'!N326))&lt;0.001,0,O324-IF(N326="",Inputs!$E$183,'Operational Model'!N326))</f>
        <v>0</v>
      </c>
      <c r="P346" s="329">
        <f ca="1">IF(ABS(P324-IF(O326="",Inputs!$E$183,'Operational Model'!O326))&lt;0.001,0,P324-IF(O326="",Inputs!$E$183,'Operational Model'!O326))</f>
        <v>0</v>
      </c>
      <c r="Q346" s="329">
        <f ca="1">IF(ABS(Q324-IF(P326="",Inputs!$E$183,'Operational Model'!P326))&lt;0.001,0,Q324-IF(P326="",Inputs!$E$183,'Operational Model'!P326))</f>
        <v>0</v>
      </c>
      <c r="R346" s="329">
        <f ca="1">IF(ABS(R324-IF(Q326="",Inputs!$E$183,'Operational Model'!Q326))&lt;0.001,0,R324-IF(Q326="",Inputs!$E$183,'Operational Model'!Q326))</f>
        <v>0</v>
      </c>
      <c r="S346" s="329">
        <f ca="1">IF(ABS(S324-IF(R326="",Inputs!$E$183,'Operational Model'!R326))&lt;0.001,0,S324-IF(R326="",Inputs!$E$183,'Operational Model'!R326))</f>
        <v>0</v>
      </c>
      <c r="T346" s="329">
        <f ca="1">IF(ABS(T324-IF(S326="",Inputs!$E$183,'Operational Model'!S326))&lt;0.001,0,T324-IF(S326="",Inputs!$E$183,'Operational Model'!S326))</f>
        <v>0</v>
      </c>
      <c r="U346" s="329">
        <f ca="1">IF(ABS(U324-IF(T326="",Inputs!$E$183,'Operational Model'!T326))&lt;0.001,0,U324-IF(T326="",Inputs!$E$183,'Operational Model'!T326))</f>
        <v>0</v>
      </c>
      <c r="V346" s="329">
        <f ca="1">IF(ABS(V324-IF(U326="",Inputs!$E$183,'Operational Model'!U326))&lt;0.001,0,V324-IF(U326="",Inputs!$E$183,'Operational Model'!U326))</f>
        <v>0</v>
      </c>
      <c r="W346" s="329">
        <f ca="1">IF(ABS(W324-IF(V326="",Inputs!$E$183,'Operational Model'!V326))&lt;0.001,0,W324-IF(V326="",Inputs!$E$183,'Operational Model'!V326))</f>
        <v>0</v>
      </c>
      <c r="X346" s="329">
        <f ca="1">IF(ABS(X324-IF(W326="",Inputs!$E$183,'Operational Model'!W326))&lt;0.001,0,X324-IF(W326="",Inputs!$E$183,'Operational Model'!W326))</f>
        <v>0</v>
      </c>
      <c r="Y346" s="329">
        <f ca="1">IF(ABS(Y324-IF(X326="",Inputs!$E$183,'Operational Model'!X326))&lt;0.001,0,Y324-IF(X326="",Inputs!$E$183,'Operational Model'!X326))</f>
        <v>0</v>
      </c>
      <c r="Z346" s="329">
        <f ca="1">IF(ABS(Z324-IF(Y326="",Inputs!$E$183,'Operational Model'!Y326))&lt;0.001,0,Z324-IF(Y326="",Inputs!$E$183,'Operational Model'!Y326))</f>
        <v>0</v>
      </c>
      <c r="AA346" s="329">
        <f ca="1">IF(ABS(AA324-IF(Z326="",Inputs!$E$183,'Operational Model'!Z326))&lt;0.001,0,AA324-IF(Z326="",Inputs!$E$183,'Operational Model'!Z326))</f>
        <v>0</v>
      </c>
      <c r="AB346" s="329">
        <f ca="1">IF(ABS(AB324-IF(AA326="",Inputs!$E$183,'Operational Model'!AA326))&lt;0.001,0,AB324-IF(AA326="",Inputs!$E$183,'Operational Model'!AA326))</f>
        <v>0</v>
      </c>
      <c r="AC346" s="329">
        <f ca="1">IF(ABS(AC324-IF(AB326="",Inputs!$E$183,'Operational Model'!AB326))&lt;0.001,0,AC324-IF(AB326="",Inputs!$E$183,'Operational Model'!AB326))</f>
        <v>0</v>
      </c>
      <c r="AD346" s="329">
        <f ca="1">IF(ABS(AD324-IF(AC326="",Inputs!$E$183,'Operational Model'!AC326))&lt;0.001,0,AD324-IF(AC326="",Inputs!$E$183,'Operational Model'!AC326))</f>
        <v>0</v>
      </c>
    </row>
    <row r="347" spans="2:30" hidden="1" outlineLevel="1" x14ac:dyDescent="0.3">
      <c r="B347" s="174" t="s">
        <v>142</v>
      </c>
      <c r="G347" s="329">
        <f ca="1">G332-(G329+G330+G331)</f>
        <v>0</v>
      </c>
      <c r="H347" s="329">
        <f t="shared" ref="H347:AD347" ca="1" si="142">H332-(H329+H330+H331)</f>
        <v>0</v>
      </c>
      <c r="I347" s="329">
        <f t="shared" ca="1" si="142"/>
        <v>0</v>
      </c>
      <c r="J347" s="329">
        <f t="shared" ca="1" si="142"/>
        <v>0</v>
      </c>
      <c r="K347" s="329">
        <f t="shared" ca="1" si="142"/>
        <v>0</v>
      </c>
      <c r="L347" s="329">
        <f t="shared" ca="1" si="142"/>
        <v>0</v>
      </c>
      <c r="M347" s="329">
        <f t="shared" ca="1" si="142"/>
        <v>0</v>
      </c>
      <c r="N347" s="329">
        <f t="shared" ca="1" si="142"/>
        <v>0</v>
      </c>
      <c r="O347" s="329">
        <f t="shared" ca="1" si="142"/>
        <v>0</v>
      </c>
      <c r="P347" s="329">
        <f t="shared" ca="1" si="142"/>
        <v>0</v>
      </c>
      <c r="Q347" s="329">
        <f t="shared" ca="1" si="142"/>
        <v>0</v>
      </c>
      <c r="R347" s="329">
        <f t="shared" ca="1" si="142"/>
        <v>0</v>
      </c>
      <c r="S347" s="329">
        <f t="shared" ca="1" si="142"/>
        <v>0</v>
      </c>
      <c r="T347" s="329">
        <f t="shared" ca="1" si="142"/>
        <v>0</v>
      </c>
      <c r="U347" s="329">
        <f t="shared" ca="1" si="142"/>
        <v>0</v>
      </c>
      <c r="V347" s="329">
        <f t="shared" ca="1" si="142"/>
        <v>0</v>
      </c>
      <c r="W347" s="329">
        <f t="shared" ca="1" si="142"/>
        <v>0</v>
      </c>
      <c r="X347" s="329">
        <f t="shared" ca="1" si="142"/>
        <v>0</v>
      </c>
      <c r="Y347" s="329">
        <f t="shared" ca="1" si="142"/>
        <v>0</v>
      </c>
      <c r="Z347" s="329">
        <f t="shared" ca="1" si="142"/>
        <v>0</v>
      </c>
      <c r="AA347" s="329">
        <f t="shared" ca="1" si="142"/>
        <v>0</v>
      </c>
      <c r="AB347" s="329">
        <f t="shared" ca="1" si="142"/>
        <v>0</v>
      </c>
      <c r="AC347" s="329">
        <f t="shared" ca="1" si="142"/>
        <v>0</v>
      </c>
      <c r="AD347" s="329">
        <f t="shared" ca="1" si="142"/>
        <v>0</v>
      </c>
    </row>
    <row r="348" spans="2:30" hidden="1" outlineLevel="1" x14ac:dyDescent="0.3">
      <c r="B348" s="174" t="s">
        <v>145</v>
      </c>
      <c r="G348" s="329">
        <f>IF(ABS(G329-IF(F332="",Inputs!$E$183,'Operational Model'!F332))&lt;0.001,0,G329-IF(F332="",Inputs!$E$183,'Operational Model'!F332))</f>
        <v>0</v>
      </c>
      <c r="H348" s="329">
        <f ca="1">IF(ABS(H329-IF(G332="",Inputs!$E$183,'Operational Model'!G332))&lt;0.001,0,H329-IF(G332="",Inputs!$E$183,'Operational Model'!G332))</f>
        <v>0</v>
      </c>
      <c r="I348" s="329">
        <f ca="1">IF(ABS(I329-IF(H332="",Inputs!$E$183,'Operational Model'!H332))&lt;0.001,0,I329-IF(H332="",Inputs!$E$183,'Operational Model'!H332))</f>
        <v>0</v>
      </c>
      <c r="J348" s="329">
        <f ca="1">IF(ABS(J329-IF(I332="",Inputs!$E$183,'Operational Model'!I332))&lt;0.001,0,J329-IF(I332="",Inputs!$E$183,'Operational Model'!I332))</f>
        <v>0</v>
      </c>
      <c r="K348" s="329">
        <f ca="1">IF(ABS(K329-IF(J332="",Inputs!$E$183,'Operational Model'!J332))&lt;0.001,0,K329-IF(J332="",Inputs!$E$183,'Operational Model'!J332))</f>
        <v>0</v>
      </c>
      <c r="L348" s="329">
        <f ca="1">IF(ABS(L329-IF(K332="",Inputs!$E$183,'Operational Model'!K332))&lt;0.001,0,L329-IF(K332="",Inputs!$E$183,'Operational Model'!K332))</f>
        <v>0</v>
      </c>
      <c r="M348" s="329">
        <f ca="1">IF(ABS(M329-IF(L332="",Inputs!$E$183,'Operational Model'!L332))&lt;0.001,0,M329-IF(L332="",Inputs!$E$183,'Operational Model'!L332))</f>
        <v>0</v>
      </c>
      <c r="N348" s="329">
        <f ca="1">IF(ABS(N329-IF(M332="",Inputs!$E$183,'Operational Model'!M332))&lt;0.001,0,N329-IF(M332="",Inputs!$E$183,'Operational Model'!M332))</f>
        <v>0</v>
      </c>
      <c r="O348" s="329">
        <f ca="1">IF(ABS(O329-IF(N332="",Inputs!$E$183,'Operational Model'!N332))&lt;0.001,0,O329-IF(N332="",Inputs!$E$183,'Operational Model'!N332))</f>
        <v>0</v>
      </c>
      <c r="P348" s="329">
        <f ca="1">IF(ABS(P329-IF(O332="",Inputs!$E$183,'Operational Model'!O332))&lt;0.001,0,P329-IF(O332="",Inputs!$E$183,'Operational Model'!O332))</f>
        <v>0</v>
      </c>
      <c r="Q348" s="329">
        <f ca="1">IF(ABS(Q329-IF(P332="",Inputs!$E$183,'Operational Model'!P332))&lt;0.001,0,Q329-IF(P332="",Inputs!$E$183,'Operational Model'!P332))</f>
        <v>0</v>
      </c>
      <c r="R348" s="329">
        <f ca="1">IF(ABS(R329-IF(Q332="",Inputs!$E$183,'Operational Model'!Q332))&lt;0.001,0,R329-IF(Q332="",Inputs!$E$183,'Operational Model'!Q332))</f>
        <v>0</v>
      </c>
      <c r="S348" s="329">
        <f ca="1">IF(ABS(S329-IF(R332="",Inputs!$E$183,'Operational Model'!R332))&lt;0.001,0,S329-IF(R332="",Inputs!$E$183,'Operational Model'!R332))</f>
        <v>0</v>
      </c>
      <c r="T348" s="329">
        <f ca="1">IF(ABS(T329-IF(S332="",Inputs!$E$183,'Operational Model'!S332))&lt;0.001,0,T329-IF(S332="",Inputs!$E$183,'Operational Model'!S332))</f>
        <v>0</v>
      </c>
      <c r="U348" s="329">
        <f ca="1">IF(ABS(U329-IF(T332="",Inputs!$E$183,'Operational Model'!T332))&lt;0.001,0,U329-IF(T332="",Inputs!$E$183,'Operational Model'!T332))</f>
        <v>0</v>
      </c>
      <c r="V348" s="329">
        <f ca="1">IF(ABS(V329-IF(U332="",Inputs!$E$183,'Operational Model'!U332))&lt;0.001,0,V329-IF(U332="",Inputs!$E$183,'Operational Model'!U332))</f>
        <v>0</v>
      </c>
      <c r="W348" s="329">
        <f ca="1">IF(ABS(W329-IF(V332="",Inputs!$E$183,'Operational Model'!V332))&lt;0.001,0,W329-IF(V332="",Inputs!$E$183,'Operational Model'!V332))</f>
        <v>0</v>
      </c>
      <c r="X348" s="329">
        <f ca="1">IF(ABS(X329-IF(W332="",Inputs!$E$183,'Operational Model'!W332))&lt;0.001,0,X329-IF(W332="",Inputs!$E$183,'Operational Model'!W332))</f>
        <v>0</v>
      </c>
      <c r="Y348" s="329">
        <f ca="1">IF(ABS(Y329-IF(X332="",Inputs!$E$183,'Operational Model'!X332))&lt;0.001,0,Y329-IF(X332="",Inputs!$E$183,'Operational Model'!X332))</f>
        <v>0</v>
      </c>
      <c r="Z348" s="329">
        <f ca="1">IF(ABS(Z329-IF(Y332="",Inputs!$E$183,'Operational Model'!Y332))&lt;0.001,0,Z329-IF(Y332="",Inputs!$E$183,'Operational Model'!Y332))</f>
        <v>0</v>
      </c>
      <c r="AA348" s="329">
        <f ca="1">IF(ABS(AA329-IF(Z332="",Inputs!$E$183,'Operational Model'!Z332))&lt;0.001,0,AA329-IF(Z332="",Inputs!$E$183,'Operational Model'!Z332))</f>
        <v>0</v>
      </c>
      <c r="AB348" s="329">
        <f ca="1">IF(ABS(AB329-IF(AA332="",Inputs!$E$183,'Operational Model'!AA332))&lt;0.001,0,AB329-IF(AA332="",Inputs!$E$183,'Operational Model'!AA332))</f>
        <v>0</v>
      </c>
      <c r="AC348" s="329">
        <f ca="1">IF(ABS(AC329-IF(AB332="",Inputs!$E$183,'Operational Model'!AB332))&lt;0.001,0,AC329-IF(AB332="",Inputs!$E$183,'Operational Model'!AB332))</f>
        <v>0</v>
      </c>
      <c r="AD348" s="329">
        <f ca="1">IF(ABS(AD329-IF(AC332="",Inputs!$E$183,'Operational Model'!AC332))&lt;0.001,0,AD329-IF(AC332="",Inputs!$E$183,'Operational Model'!AC332))</f>
        <v>0</v>
      </c>
    </row>
    <row r="349" spans="2:30" hidden="1" outlineLevel="1" x14ac:dyDescent="0.3">
      <c r="B349" s="174" t="s">
        <v>143</v>
      </c>
      <c r="G349" s="329">
        <f ca="1">IF(G315=$G$358,'Operational Model'!G331-'Operational Model'!$G$356,'Operational Model'!G331)</f>
        <v>0</v>
      </c>
      <c r="H349" s="329">
        <f ca="1">IF(H315=$G$358,'Operational Model'!H331-'Operational Model'!$G$356,'Operational Model'!H331)</f>
        <v>0</v>
      </c>
      <c r="I349" s="329">
        <f ca="1">IF(I315=$G$358,'Operational Model'!I331-'Operational Model'!$G$356,'Operational Model'!I331)</f>
        <v>0</v>
      </c>
      <c r="J349" s="329">
        <f ca="1">IF(J315=$G$358,'Operational Model'!J331-'Operational Model'!$G$356,'Operational Model'!J331)</f>
        <v>0</v>
      </c>
      <c r="K349" s="329">
        <f ca="1">IF(K315=$G$358,'Operational Model'!K331-'Operational Model'!$G$356,'Operational Model'!K331)</f>
        <v>0</v>
      </c>
      <c r="L349" s="329">
        <f ca="1">IF(L315=$G$358,'Operational Model'!L331-'Operational Model'!$G$356,'Operational Model'!L331)</f>
        <v>0</v>
      </c>
      <c r="M349" s="329">
        <f ca="1">IF(M315=$G$358,'Operational Model'!M331-'Operational Model'!$G$356,'Operational Model'!M331)</f>
        <v>0</v>
      </c>
      <c r="N349" s="329">
        <f ca="1">IF(N315=$G$358,'Operational Model'!N331-'Operational Model'!$G$356,'Operational Model'!N331)</f>
        <v>0</v>
      </c>
      <c r="O349" s="329">
        <f ca="1">IF(O315=$G$358,'Operational Model'!O331-'Operational Model'!$G$356,'Operational Model'!O331)</f>
        <v>0</v>
      </c>
      <c r="P349" s="329">
        <f ca="1">IF(P315=$G$358,'Operational Model'!P331-'Operational Model'!$G$356,'Operational Model'!P331)</f>
        <v>0</v>
      </c>
      <c r="Q349" s="329">
        <f ca="1">IF(Q315=$G$358,'Operational Model'!Q331-'Operational Model'!$G$356,'Operational Model'!Q331)</f>
        <v>0</v>
      </c>
      <c r="R349" s="329">
        <f ca="1">IF(R315=$G$358,'Operational Model'!R331-'Operational Model'!$G$356,'Operational Model'!R331)</f>
        <v>0</v>
      </c>
      <c r="S349" s="329">
        <f ca="1">IF(S315=$G$358,'Operational Model'!S331-'Operational Model'!$G$356,'Operational Model'!S331)</f>
        <v>0</v>
      </c>
      <c r="T349" s="329">
        <f ca="1">IF(T315=$G$358,'Operational Model'!T331-'Operational Model'!$G$356,'Operational Model'!T331)</f>
        <v>0</v>
      </c>
      <c r="U349" s="329">
        <f ca="1">IF(U315=$G$358,'Operational Model'!U331-'Operational Model'!$G$356,'Operational Model'!U331)</f>
        <v>0</v>
      </c>
      <c r="V349" s="329">
        <f ca="1">IF(V315=$G$358,'Operational Model'!V331-'Operational Model'!$G$356,'Operational Model'!V331)</f>
        <v>0</v>
      </c>
      <c r="W349" s="329">
        <f ca="1">IF(W315=$G$358,'Operational Model'!W331-'Operational Model'!$G$356,'Operational Model'!W331)</f>
        <v>0</v>
      </c>
      <c r="X349" s="329">
        <f ca="1">IF(X315=$G$358,'Operational Model'!X331-'Operational Model'!$G$356,'Operational Model'!X331)</f>
        <v>0</v>
      </c>
      <c r="Y349" s="329">
        <f ca="1">IF(Y315=$G$358,'Operational Model'!Y331-'Operational Model'!$G$356,'Operational Model'!Y331)</f>
        <v>0</v>
      </c>
      <c r="Z349" s="329">
        <f ca="1">IF(Z315=$G$358,'Operational Model'!Z331-'Operational Model'!$G$356,'Operational Model'!Z331)</f>
        <v>0</v>
      </c>
      <c r="AA349" s="329">
        <f ca="1">IF(AA315=$G$358,'Operational Model'!AA331-'Operational Model'!$G$356,'Operational Model'!AA331)</f>
        <v>0</v>
      </c>
      <c r="AB349" s="329">
        <f ca="1">IF(AB315=$G$358,'Operational Model'!AB331-'Operational Model'!$G$356,'Operational Model'!AB331)</f>
        <v>0</v>
      </c>
      <c r="AC349" s="329">
        <f ca="1">IF(AC315=$G$358,'Operational Model'!AC331-'Operational Model'!$G$356,'Operational Model'!AC331)</f>
        <v>0</v>
      </c>
      <c r="AD349" s="329">
        <f ca="1">IF(AD315=$G$358,'Operational Model'!AD331-'Operational Model'!$G$356,'Operational Model'!AD331)</f>
        <v>0</v>
      </c>
    </row>
    <row r="350" spans="2:30" hidden="1" outlineLevel="1" x14ac:dyDescent="0.3">
      <c r="B350" s="330"/>
      <c r="C350" s="242"/>
      <c r="D350" s="242"/>
      <c r="E350" s="242"/>
      <c r="F350" s="242"/>
      <c r="G350" s="331"/>
      <c r="H350" s="331"/>
      <c r="I350" s="331"/>
      <c r="J350" s="331"/>
      <c r="K350" s="331"/>
      <c r="L350" s="331"/>
      <c r="M350" s="331"/>
      <c r="N350" s="331"/>
      <c r="O350" s="331"/>
      <c r="P350" s="331"/>
      <c r="Q350" s="331"/>
      <c r="R350" s="331"/>
      <c r="S350" s="331"/>
      <c r="T350" s="331"/>
      <c r="U350" s="331"/>
      <c r="V350" s="331"/>
      <c r="W350" s="331"/>
      <c r="X350" s="331"/>
      <c r="Y350" s="331"/>
      <c r="Z350" s="331"/>
      <c r="AA350" s="331"/>
      <c r="AB350" s="331"/>
      <c r="AC350" s="331"/>
      <c r="AD350" s="331"/>
    </row>
    <row r="351" spans="2:30" hidden="1" outlineLevel="1" x14ac:dyDescent="0.3">
      <c r="B351" s="174"/>
    </row>
    <row r="352" spans="2:30" hidden="1" outlineLevel="1" x14ac:dyDescent="0.3">
      <c r="B352" s="192" t="s">
        <v>120</v>
      </c>
    </row>
    <row r="353" spans="1:30" hidden="1" outlineLevel="1" x14ac:dyDescent="0.3">
      <c r="B353" s="174" t="s">
        <v>358</v>
      </c>
      <c r="G353" s="332">
        <f ca="1">IFERROR(INDEX(G315:AD315,1,MATCH(TRUE,G337:AD337,0)),"-")</f>
        <v>46568</v>
      </c>
    </row>
    <row r="354" spans="1:30" hidden="1" outlineLevel="1" x14ac:dyDescent="0.3">
      <c r="B354" s="174" t="s">
        <v>129</v>
      </c>
      <c r="G354" s="333" cm="1">
        <f t="array" ref="G354">IFERROR(IF(MIN(G338:INDEX(G338:AD338,1,MATCH(TRUE,G336:AD336&gt;=0,0)))&gt;0,1,0),0)</f>
        <v>1</v>
      </c>
    </row>
    <row r="355" spans="1:30" hidden="1" outlineLevel="1" x14ac:dyDescent="0.3">
      <c r="B355" s="174" t="s">
        <v>128</v>
      </c>
      <c r="G355" s="333">
        <f ca="1">IF(MIN(G341:AD341)&lt;Inputs!F112,1,0)</f>
        <v>0</v>
      </c>
    </row>
    <row r="356" spans="1:30" hidden="1" outlineLevel="1" x14ac:dyDescent="0.3">
      <c r="B356" s="174" t="s">
        <v>126</v>
      </c>
      <c r="G356" s="334">
        <f ca="1">IF(G355=1,Inputs!F113,0)</f>
        <v>0</v>
      </c>
    </row>
    <row r="357" spans="1:30" hidden="1" outlineLevel="1" x14ac:dyDescent="0.3">
      <c r="B357" s="174" t="s">
        <v>131</v>
      </c>
      <c r="G357" s="335" t="str">
        <f ca="1">IF(G355=1,Inputs!F114,"No Funding Required")</f>
        <v>No Funding Required</v>
      </c>
    </row>
    <row r="358" spans="1:30" hidden="1" outlineLevel="1" x14ac:dyDescent="0.3">
      <c r="B358" s="174" t="s">
        <v>134</v>
      </c>
      <c r="G358" s="332" t="str" cm="1">
        <f t="array" aca="1" ref="G358" ca="1">IFERROR(INDEX(G315:AD315,1,MATCH(TRUE,G341:AD341&lt;Inputs!F112,0)),"No Funding Required")</f>
        <v>No Funding Required</v>
      </c>
    </row>
    <row r="359" spans="1:30" hidden="1" outlineLevel="1" x14ac:dyDescent="0.3">
      <c r="AB359" s="336"/>
      <c r="AD359" s="337" t="s">
        <v>133</v>
      </c>
    </row>
    <row r="360" spans="1:30" hidden="1" outlineLevel="1" x14ac:dyDescent="0.3">
      <c r="B360" s="174"/>
    </row>
    <row r="361" spans="1:30" collapsed="1" x14ac:dyDescent="0.3">
      <c r="B361" s="174"/>
    </row>
    <row r="362" spans="1:30" ht="21" x14ac:dyDescent="0.3">
      <c r="A362" s="149" t="s">
        <v>33</v>
      </c>
      <c r="B362" s="152" t="s">
        <v>217</v>
      </c>
      <c r="C362" s="153"/>
      <c r="D362" s="153"/>
      <c r="E362" s="153"/>
      <c r="F362" s="153"/>
      <c r="G362" s="153"/>
      <c r="H362" s="153"/>
      <c r="I362" s="153"/>
      <c r="J362" s="153"/>
      <c r="K362" s="153"/>
      <c r="L362" s="153"/>
      <c r="M362" s="153"/>
      <c r="N362" s="153"/>
      <c r="O362" s="153"/>
      <c r="P362" s="153"/>
      <c r="Q362" s="153"/>
      <c r="R362" s="153"/>
      <c r="S362" s="153"/>
      <c r="T362" s="153"/>
      <c r="U362" s="153"/>
      <c r="V362" s="153"/>
      <c r="W362" s="153"/>
      <c r="X362" s="153"/>
      <c r="Y362" s="153"/>
      <c r="Z362" s="153"/>
      <c r="AA362" s="153"/>
      <c r="AB362" s="153"/>
      <c r="AC362" s="153"/>
      <c r="AD362" s="153"/>
    </row>
    <row r="363" spans="1:30" hidden="1" outlineLevel="1" x14ac:dyDescent="0.3">
      <c r="B363" s="165"/>
    </row>
    <row r="364" spans="1:30" hidden="1" outlineLevel="1" x14ac:dyDescent="0.3">
      <c r="B364" s="155" t="s">
        <v>24</v>
      </c>
      <c r="G364" s="156">
        <f>G$5</f>
        <v>2026</v>
      </c>
      <c r="H364" s="157">
        <f t="shared" ref="H364:AD364" si="143">H$5</f>
        <v>2026</v>
      </c>
      <c r="I364" s="158">
        <f t="shared" si="143"/>
        <v>2026</v>
      </c>
      <c r="J364" s="157">
        <f t="shared" si="143"/>
        <v>2026</v>
      </c>
      <c r="K364" s="157">
        <f t="shared" si="143"/>
        <v>2026</v>
      </c>
      <c r="L364" s="158">
        <f t="shared" si="143"/>
        <v>2026</v>
      </c>
      <c r="M364" s="157">
        <f t="shared" si="143"/>
        <v>2026</v>
      </c>
      <c r="N364" s="157">
        <f t="shared" si="143"/>
        <v>2026</v>
      </c>
      <c r="O364" s="158">
        <f t="shared" si="143"/>
        <v>2026</v>
      </c>
      <c r="P364" s="157">
        <f t="shared" si="143"/>
        <v>2026</v>
      </c>
      <c r="Q364" s="157">
        <f t="shared" si="143"/>
        <v>2026</v>
      </c>
      <c r="R364" s="159">
        <f t="shared" si="143"/>
        <v>2026</v>
      </c>
      <c r="S364" s="157">
        <f t="shared" si="143"/>
        <v>2027</v>
      </c>
      <c r="T364" s="157">
        <f t="shared" si="143"/>
        <v>2027</v>
      </c>
      <c r="U364" s="158">
        <f t="shared" si="143"/>
        <v>2027</v>
      </c>
      <c r="V364" s="157">
        <f t="shared" si="143"/>
        <v>2027</v>
      </c>
      <c r="W364" s="157">
        <f t="shared" si="143"/>
        <v>2027</v>
      </c>
      <c r="X364" s="158">
        <f t="shared" si="143"/>
        <v>2027</v>
      </c>
      <c r="Y364" s="157">
        <f t="shared" si="143"/>
        <v>2027</v>
      </c>
      <c r="Z364" s="157">
        <f t="shared" si="143"/>
        <v>2027</v>
      </c>
      <c r="AA364" s="158">
        <f t="shared" si="143"/>
        <v>2027</v>
      </c>
      <c r="AB364" s="157">
        <f t="shared" si="143"/>
        <v>2027</v>
      </c>
      <c r="AC364" s="157">
        <f t="shared" si="143"/>
        <v>2027</v>
      </c>
      <c r="AD364" s="159">
        <f t="shared" si="143"/>
        <v>2027</v>
      </c>
    </row>
    <row r="365" spans="1:30" hidden="1" outlineLevel="1" x14ac:dyDescent="0.3">
      <c r="B365" s="155" t="str" cm="1">
        <f t="array" ref="B365">CONCATENATE("Model Running: ",INDEX(Inputs!$B$15:$B$17,Inputs!$D$8)," Drivers")</f>
        <v>Model Running: Base Case Drivers</v>
      </c>
      <c r="G365" s="161">
        <f>G$6</f>
        <v>1</v>
      </c>
      <c r="H365" s="162">
        <f t="shared" ref="H365:AD365" si="144">H$6</f>
        <v>1</v>
      </c>
      <c r="I365" s="163">
        <f t="shared" si="144"/>
        <v>1</v>
      </c>
      <c r="J365" s="162">
        <f t="shared" si="144"/>
        <v>2</v>
      </c>
      <c r="K365" s="162">
        <f t="shared" si="144"/>
        <v>2</v>
      </c>
      <c r="L365" s="163">
        <f t="shared" si="144"/>
        <v>2</v>
      </c>
      <c r="M365" s="162">
        <f t="shared" si="144"/>
        <v>3</v>
      </c>
      <c r="N365" s="162">
        <f t="shared" si="144"/>
        <v>3</v>
      </c>
      <c r="O365" s="163">
        <f t="shared" si="144"/>
        <v>3</v>
      </c>
      <c r="P365" s="162">
        <f t="shared" si="144"/>
        <v>4</v>
      </c>
      <c r="Q365" s="162">
        <f t="shared" si="144"/>
        <v>4</v>
      </c>
      <c r="R365" s="164">
        <f t="shared" si="144"/>
        <v>4</v>
      </c>
      <c r="S365" s="162">
        <f t="shared" si="144"/>
        <v>1</v>
      </c>
      <c r="T365" s="162">
        <f t="shared" si="144"/>
        <v>1</v>
      </c>
      <c r="U365" s="163">
        <f t="shared" si="144"/>
        <v>1</v>
      </c>
      <c r="V365" s="162">
        <f t="shared" si="144"/>
        <v>2</v>
      </c>
      <c r="W365" s="162">
        <f t="shared" si="144"/>
        <v>2</v>
      </c>
      <c r="X365" s="163">
        <f t="shared" si="144"/>
        <v>2</v>
      </c>
      <c r="Y365" s="162">
        <f t="shared" si="144"/>
        <v>3</v>
      </c>
      <c r="Z365" s="162">
        <f t="shared" si="144"/>
        <v>3</v>
      </c>
      <c r="AA365" s="163">
        <f t="shared" si="144"/>
        <v>3</v>
      </c>
      <c r="AB365" s="162">
        <f t="shared" si="144"/>
        <v>4</v>
      </c>
      <c r="AC365" s="162">
        <f t="shared" si="144"/>
        <v>4</v>
      </c>
      <c r="AD365" s="164">
        <f t="shared" si="144"/>
        <v>4</v>
      </c>
    </row>
    <row r="366" spans="1:30" hidden="1" outlineLevel="1" x14ac:dyDescent="0.3">
      <c r="G366" s="166">
        <f>G$7</f>
        <v>46053</v>
      </c>
      <c r="H366" s="167">
        <f t="shared" ref="H366:AD366" si="145">H$7</f>
        <v>46081</v>
      </c>
      <c r="I366" s="168">
        <f t="shared" si="145"/>
        <v>46112</v>
      </c>
      <c r="J366" s="167">
        <f t="shared" si="145"/>
        <v>46142</v>
      </c>
      <c r="K366" s="167">
        <f t="shared" si="145"/>
        <v>46173</v>
      </c>
      <c r="L366" s="168">
        <f t="shared" si="145"/>
        <v>46203</v>
      </c>
      <c r="M366" s="167">
        <f t="shared" si="145"/>
        <v>46234</v>
      </c>
      <c r="N366" s="167">
        <f t="shared" si="145"/>
        <v>46265</v>
      </c>
      <c r="O366" s="168">
        <f t="shared" si="145"/>
        <v>46295</v>
      </c>
      <c r="P366" s="167">
        <f t="shared" si="145"/>
        <v>46326</v>
      </c>
      <c r="Q366" s="167">
        <f t="shared" si="145"/>
        <v>46356</v>
      </c>
      <c r="R366" s="169">
        <f t="shared" si="145"/>
        <v>46387</v>
      </c>
      <c r="S366" s="167">
        <f t="shared" si="145"/>
        <v>46418</v>
      </c>
      <c r="T366" s="167">
        <f t="shared" si="145"/>
        <v>46446</v>
      </c>
      <c r="U366" s="168">
        <f t="shared" si="145"/>
        <v>46477</v>
      </c>
      <c r="V366" s="167">
        <f t="shared" si="145"/>
        <v>46507</v>
      </c>
      <c r="W366" s="167">
        <f t="shared" si="145"/>
        <v>46538</v>
      </c>
      <c r="X366" s="168">
        <f t="shared" si="145"/>
        <v>46568</v>
      </c>
      <c r="Y366" s="167">
        <f t="shared" si="145"/>
        <v>46599</v>
      </c>
      <c r="Z366" s="167">
        <f t="shared" si="145"/>
        <v>46630</v>
      </c>
      <c r="AA366" s="168">
        <f t="shared" si="145"/>
        <v>46660</v>
      </c>
      <c r="AB366" s="167">
        <f t="shared" si="145"/>
        <v>46691</v>
      </c>
      <c r="AC366" s="167">
        <f t="shared" si="145"/>
        <v>46721</v>
      </c>
      <c r="AD366" s="169">
        <f t="shared" si="145"/>
        <v>46752</v>
      </c>
    </row>
    <row r="367" spans="1:30" hidden="1" outlineLevel="1" x14ac:dyDescent="0.3">
      <c r="G367" s="278"/>
      <c r="H367" s="278"/>
      <c r="I367" s="278"/>
      <c r="J367" s="278"/>
      <c r="K367" s="278"/>
      <c r="L367" s="278"/>
      <c r="M367" s="278"/>
      <c r="N367" s="278"/>
      <c r="O367" s="278"/>
      <c r="P367" s="278"/>
      <c r="Q367" s="278"/>
      <c r="R367" s="278"/>
      <c r="S367" s="278"/>
      <c r="T367" s="278"/>
      <c r="U367" s="278"/>
      <c r="V367" s="278"/>
      <c r="W367" s="278"/>
      <c r="X367" s="278"/>
      <c r="Y367" s="278"/>
      <c r="Z367" s="278"/>
      <c r="AA367" s="278"/>
      <c r="AB367" s="278"/>
      <c r="AC367" s="278"/>
      <c r="AD367" s="278"/>
    </row>
    <row r="368" spans="1:30" hidden="1" outlineLevel="1" x14ac:dyDescent="0.3"/>
    <row r="369" spans="2:30" hidden="1" outlineLevel="1" x14ac:dyDescent="0.3">
      <c r="B369" s="172" t="s">
        <v>233</v>
      </c>
    </row>
    <row r="370" spans="2:30" hidden="1" outlineLevel="1" x14ac:dyDescent="0.3">
      <c r="B370" s="174" t="s">
        <v>234</v>
      </c>
      <c r="G370" s="297">
        <f>Inputs!$E$208</f>
        <v>30</v>
      </c>
      <c r="H370" s="297">
        <f>Inputs!$E$208</f>
        <v>30</v>
      </c>
      <c r="I370" s="297">
        <f>Inputs!$E$208</f>
        <v>30</v>
      </c>
      <c r="J370" s="297">
        <f>Inputs!$E$208</f>
        <v>30</v>
      </c>
      <c r="K370" s="297">
        <f>Inputs!$E$208</f>
        <v>30</v>
      </c>
      <c r="L370" s="297">
        <f>Inputs!$E$208</f>
        <v>30</v>
      </c>
      <c r="M370" s="297">
        <f>Inputs!$E$208</f>
        <v>30</v>
      </c>
      <c r="N370" s="297">
        <f>Inputs!$E$208</f>
        <v>30</v>
      </c>
      <c r="O370" s="297">
        <f>Inputs!$E$208</f>
        <v>30</v>
      </c>
      <c r="P370" s="297">
        <f>Inputs!$E$208</f>
        <v>30</v>
      </c>
      <c r="Q370" s="297">
        <f>Inputs!$E$208</f>
        <v>30</v>
      </c>
      <c r="R370" s="297">
        <f>Inputs!$E$208</f>
        <v>30</v>
      </c>
      <c r="S370" s="297">
        <f>Inputs!$E$208</f>
        <v>30</v>
      </c>
      <c r="T370" s="297">
        <f>Inputs!$E$208</f>
        <v>30</v>
      </c>
      <c r="U370" s="297">
        <f>Inputs!$E$208</f>
        <v>30</v>
      </c>
      <c r="V370" s="297">
        <f>Inputs!$E$208</f>
        <v>30</v>
      </c>
      <c r="W370" s="297">
        <f>Inputs!$E$208</f>
        <v>30</v>
      </c>
      <c r="X370" s="297">
        <f>Inputs!$E$208</f>
        <v>30</v>
      </c>
      <c r="Y370" s="297">
        <f>Inputs!$E$208</f>
        <v>30</v>
      </c>
      <c r="Z370" s="297">
        <f>Inputs!$E$208</f>
        <v>30</v>
      </c>
      <c r="AA370" s="297">
        <f>Inputs!$E$208</f>
        <v>30</v>
      </c>
      <c r="AB370" s="297">
        <f>Inputs!$E$208</f>
        <v>30</v>
      </c>
      <c r="AC370" s="297">
        <f>Inputs!$E$208</f>
        <v>30</v>
      </c>
      <c r="AD370" s="297">
        <f>Inputs!$E$208</f>
        <v>30</v>
      </c>
    </row>
    <row r="371" spans="2:30" hidden="1" outlineLevel="1" x14ac:dyDescent="0.3">
      <c r="B371" s="165" t="s">
        <v>159</v>
      </c>
      <c r="G371" s="297">
        <f t="shared" ref="G371:AD371" si="146">G155</f>
        <v>913.22280000000001</v>
      </c>
      <c r="H371" s="297">
        <f t="shared" si="146"/>
        <v>933.64625105135997</v>
      </c>
      <c r="I371" s="297">
        <f t="shared" si="146"/>
        <v>953.82026075561885</v>
      </c>
      <c r="J371" s="297">
        <f t="shared" si="146"/>
        <v>973.79365938813044</v>
      </c>
      <c r="K371" s="297">
        <f t="shared" si="146"/>
        <v>993.61427473508866</v>
      </c>
      <c r="L371" s="297">
        <f t="shared" si="146"/>
        <v>1013.3290050308915</v>
      </c>
      <c r="M371" s="297">
        <f t="shared" si="146"/>
        <v>1032.9838901010589</v>
      </c>
      <c r="N371" s="297">
        <f t="shared" si="146"/>
        <v>1052.6241808129246</v>
      </c>
      <c r="O371" s="297">
        <f t="shared" si="146"/>
        <v>1072.294406933474</v>
      </c>
      <c r="P371" s="297">
        <f t="shared" si="146"/>
        <v>1092.0384434909899</v>
      </c>
      <c r="Q371" s="297">
        <f t="shared" si="146"/>
        <v>1111.8995757346056</v>
      </c>
      <c r="R371" s="297">
        <f t="shared" si="146"/>
        <v>1131.920562783426</v>
      </c>
      <c r="S371" s="297">
        <f t="shared" si="146"/>
        <v>1157.5983540197676</v>
      </c>
      <c r="T371" s="297">
        <f t="shared" si="146"/>
        <v>1183.4761071675407</v>
      </c>
      <c r="U371" s="297">
        <f t="shared" si="146"/>
        <v>1209.5912542337499</v>
      </c>
      <c r="V371" s="297">
        <f t="shared" si="146"/>
        <v>1235.980861061965</v>
      </c>
      <c r="W371" s="297">
        <f t="shared" si="146"/>
        <v>1262.681675088038</v>
      </c>
      <c r="X371" s="297">
        <f t="shared" si="146"/>
        <v>1289.7301721268409</v>
      </c>
      <c r="Y371" s="297">
        <f t="shared" si="146"/>
        <v>1317.1626022537782</v>
      </c>
      <c r="Z371" s="297">
        <f t="shared" si="146"/>
        <v>1345.0150348430493</v>
      </c>
      <c r="AA371" s="297">
        <f t="shared" si="146"/>
        <v>1373.3234028229492</v>
      </c>
      <c r="AB371" s="297">
        <f t="shared" si="146"/>
        <v>1402.1235462068914</v>
      </c>
      <c r="AC371" s="297">
        <f t="shared" si="146"/>
        <v>1431.4512549573267</v>
      </c>
      <c r="AD371" s="297">
        <f t="shared" si="146"/>
        <v>1461.3423112382877</v>
      </c>
    </row>
    <row r="372" spans="2:30" hidden="1" outlineLevel="1" x14ac:dyDescent="0.3">
      <c r="B372" s="165" t="s">
        <v>235</v>
      </c>
      <c r="G372" s="297">
        <f t="shared" ref="G372:AD372" si="147">G280+G296+G297</f>
        <v>264.83461199999999</v>
      </c>
      <c r="H372" s="297">
        <f t="shared" si="147"/>
        <v>270.75741280489439</v>
      </c>
      <c r="I372" s="297">
        <f t="shared" si="147"/>
        <v>276.60787561912952</v>
      </c>
      <c r="J372" s="297">
        <f t="shared" si="147"/>
        <v>282.40016122255787</v>
      </c>
      <c r="K372" s="297">
        <f t="shared" si="147"/>
        <v>288.14813967317571</v>
      </c>
      <c r="L372" s="297">
        <f t="shared" si="147"/>
        <v>293.86541145895853</v>
      </c>
      <c r="M372" s="297">
        <f t="shared" si="147"/>
        <v>299.56532812930709</v>
      </c>
      <c r="N372" s="297">
        <f t="shared" si="147"/>
        <v>305.26101243574817</v>
      </c>
      <c r="O372" s="297">
        <f t="shared" si="147"/>
        <v>310.96537801070747</v>
      </c>
      <c r="P372" s="297">
        <f t="shared" si="147"/>
        <v>316.69114861238705</v>
      </c>
      <c r="Q372" s="297">
        <f t="shared" si="147"/>
        <v>322.45087696303563</v>
      </c>
      <c r="R372" s="297">
        <f t="shared" si="147"/>
        <v>328.25696320719362</v>
      </c>
      <c r="S372" s="297">
        <f t="shared" si="147"/>
        <v>333.38832595769316</v>
      </c>
      <c r="T372" s="297">
        <f t="shared" si="147"/>
        <v>338.47416664991675</v>
      </c>
      <c r="U372" s="297">
        <f t="shared" si="147"/>
        <v>343.52391620238507</v>
      </c>
      <c r="V372" s="297">
        <f t="shared" si="147"/>
        <v>348.54660281947429</v>
      </c>
      <c r="W372" s="297">
        <f t="shared" si="147"/>
        <v>353.55086902465081</v>
      </c>
      <c r="X372" s="297">
        <f t="shared" si="147"/>
        <v>358.54498785126196</v>
      </c>
      <c r="Y372" s="297">
        <f t="shared" si="147"/>
        <v>363.53687822204296</v>
      </c>
      <c r="Z372" s="297">
        <f t="shared" si="147"/>
        <v>368.53411954699567</v>
      </c>
      <c r="AA372" s="297">
        <f t="shared" si="147"/>
        <v>373.54396556784229</v>
      </c>
      <c r="AB372" s="297">
        <f t="shared" si="147"/>
        <v>378.5733574758608</v>
      </c>
      <c r="AC372" s="297">
        <f t="shared" si="147"/>
        <v>386.49183883847843</v>
      </c>
      <c r="AD372" s="297">
        <f t="shared" si="147"/>
        <v>394.56242403433782</v>
      </c>
    </row>
    <row r="373" spans="2:30" hidden="1" outlineLevel="1" x14ac:dyDescent="0.3">
      <c r="G373" s="297"/>
      <c r="H373" s="297"/>
      <c r="I373" s="297"/>
      <c r="J373" s="297"/>
      <c r="K373" s="297"/>
      <c r="L373" s="297"/>
      <c r="M373" s="297"/>
      <c r="N373" s="297"/>
      <c r="O373" s="297"/>
      <c r="P373" s="297"/>
      <c r="Q373" s="297"/>
      <c r="R373" s="297"/>
      <c r="S373" s="297"/>
      <c r="T373" s="297"/>
      <c r="U373" s="297"/>
      <c r="V373" s="297"/>
      <c r="W373" s="297"/>
      <c r="X373" s="297"/>
      <c r="Y373" s="297"/>
      <c r="Z373" s="297"/>
      <c r="AA373" s="297"/>
      <c r="AB373" s="297"/>
      <c r="AC373" s="297"/>
      <c r="AD373" s="297"/>
    </row>
    <row r="374" spans="2:30" hidden="1" outlineLevel="1" x14ac:dyDescent="0.3">
      <c r="B374" s="172" t="s">
        <v>236</v>
      </c>
      <c r="G374" s="297"/>
      <c r="H374" s="297"/>
      <c r="I374" s="297"/>
      <c r="J374" s="297"/>
      <c r="K374" s="297"/>
      <c r="L374" s="297"/>
      <c r="M374" s="297"/>
      <c r="N374" s="297"/>
      <c r="O374" s="297"/>
      <c r="P374" s="297"/>
      <c r="Q374" s="297"/>
      <c r="R374" s="297"/>
      <c r="S374" s="297"/>
      <c r="T374" s="297"/>
      <c r="U374" s="297"/>
      <c r="V374" s="297"/>
      <c r="W374" s="297"/>
      <c r="X374" s="297"/>
      <c r="Y374" s="297"/>
      <c r="Z374" s="297"/>
      <c r="AA374" s="297"/>
      <c r="AB374" s="297"/>
      <c r="AC374" s="297"/>
      <c r="AD374" s="297"/>
    </row>
    <row r="375" spans="2:30" hidden="1" outlineLevel="1" x14ac:dyDescent="0.3">
      <c r="B375" s="165" t="s">
        <v>238</v>
      </c>
      <c r="E375" s="291" t="s">
        <v>237</v>
      </c>
      <c r="F375" s="291"/>
      <c r="G375" s="297">
        <f>Inputs!$F$118</f>
        <v>31</v>
      </c>
      <c r="H375" s="297">
        <f>Inputs!$F$118</f>
        <v>31</v>
      </c>
      <c r="I375" s="297">
        <f>Inputs!$F$118</f>
        <v>31</v>
      </c>
      <c r="J375" s="297">
        <f>Inputs!$F$118</f>
        <v>31</v>
      </c>
      <c r="K375" s="297">
        <f>Inputs!$F$118</f>
        <v>31</v>
      </c>
      <c r="L375" s="297">
        <f>Inputs!$F$118</f>
        <v>31</v>
      </c>
      <c r="M375" s="297">
        <f>Inputs!$F$118</f>
        <v>31</v>
      </c>
      <c r="N375" s="297">
        <f>Inputs!$F$118</f>
        <v>31</v>
      </c>
      <c r="O375" s="297">
        <f>Inputs!$F$118</f>
        <v>31</v>
      </c>
      <c r="P375" s="297">
        <f>Inputs!$F$118</f>
        <v>31</v>
      </c>
      <c r="Q375" s="297">
        <f>Inputs!$F$118</f>
        <v>31</v>
      </c>
      <c r="R375" s="297">
        <f>Inputs!$F$118</f>
        <v>31</v>
      </c>
      <c r="S375" s="297">
        <f>Inputs!$F$118</f>
        <v>31</v>
      </c>
      <c r="T375" s="297">
        <f>Inputs!$F$118</f>
        <v>31</v>
      </c>
      <c r="U375" s="297">
        <f>Inputs!$F$118</f>
        <v>31</v>
      </c>
      <c r="V375" s="297">
        <f>Inputs!$F$118</f>
        <v>31</v>
      </c>
      <c r="W375" s="297">
        <f>Inputs!$F$118</f>
        <v>31</v>
      </c>
      <c r="X375" s="297">
        <f>Inputs!$F$118</f>
        <v>31</v>
      </c>
      <c r="Y375" s="297">
        <f>Inputs!$F$118</f>
        <v>31</v>
      </c>
      <c r="Z375" s="297">
        <f>Inputs!$F$118</f>
        <v>31</v>
      </c>
      <c r="AA375" s="297">
        <f>Inputs!$F$118</f>
        <v>31</v>
      </c>
      <c r="AB375" s="297">
        <f>Inputs!$F$118</f>
        <v>31</v>
      </c>
      <c r="AC375" s="297">
        <f>Inputs!$F$118</f>
        <v>31</v>
      </c>
      <c r="AD375" s="297">
        <f>Inputs!$F$118</f>
        <v>31</v>
      </c>
    </row>
    <row r="376" spans="2:30" hidden="1" outlineLevel="1" x14ac:dyDescent="0.3">
      <c r="B376" s="165" t="s">
        <v>239</v>
      </c>
      <c r="E376" s="291" t="s">
        <v>237</v>
      </c>
      <c r="F376" s="291"/>
      <c r="G376" s="297">
        <f>Inputs!$F$119</f>
        <v>45</v>
      </c>
      <c r="H376" s="297">
        <f>Inputs!$F$119</f>
        <v>45</v>
      </c>
      <c r="I376" s="297">
        <f>Inputs!$F$119</f>
        <v>45</v>
      </c>
      <c r="J376" s="297">
        <f>Inputs!$F$119</f>
        <v>45</v>
      </c>
      <c r="K376" s="297">
        <f>Inputs!$F$119</f>
        <v>45</v>
      </c>
      <c r="L376" s="297">
        <f>Inputs!$F$119</f>
        <v>45</v>
      </c>
      <c r="M376" s="297">
        <f>Inputs!$F$119</f>
        <v>45</v>
      </c>
      <c r="N376" s="297">
        <f>Inputs!$F$119</f>
        <v>45</v>
      </c>
      <c r="O376" s="297">
        <f>Inputs!$F$119</f>
        <v>45</v>
      </c>
      <c r="P376" s="297">
        <f>Inputs!$F$119</f>
        <v>45</v>
      </c>
      <c r="Q376" s="297">
        <f>Inputs!$F$119</f>
        <v>45</v>
      </c>
      <c r="R376" s="297">
        <f>Inputs!$F$119</f>
        <v>45</v>
      </c>
      <c r="S376" s="297">
        <f>Inputs!$F$119</f>
        <v>45</v>
      </c>
      <c r="T376" s="297">
        <f>Inputs!$F$119</f>
        <v>45</v>
      </c>
      <c r="U376" s="297">
        <f>Inputs!$F$119</f>
        <v>45</v>
      </c>
      <c r="V376" s="297">
        <f>Inputs!$F$119</f>
        <v>45</v>
      </c>
      <c r="W376" s="297">
        <f>Inputs!$F$119</f>
        <v>45</v>
      </c>
      <c r="X376" s="297">
        <f>Inputs!$F$119</f>
        <v>45</v>
      </c>
      <c r="Y376" s="297">
        <f>Inputs!$F$119</f>
        <v>45</v>
      </c>
      <c r="Z376" s="297">
        <f>Inputs!$F$119</f>
        <v>45</v>
      </c>
      <c r="AA376" s="297">
        <f>Inputs!$F$119</f>
        <v>45</v>
      </c>
      <c r="AB376" s="297">
        <f>Inputs!$F$119</f>
        <v>45</v>
      </c>
      <c r="AC376" s="297">
        <f>Inputs!$F$119</f>
        <v>45</v>
      </c>
      <c r="AD376" s="297">
        <f>Inputs!$F$119</f>
        <v>45</v>
      </c>
    </row>
    <row r="377" spans="2:30" hidden="1" outlineLevel="1" x14ac:dyDescent="0.3">
      <c r="B377" s="165" t="s">
        <v>190</v>
      </c>
      <c r="G377" s="319">
        <f>Inputs!$F$120</f>
        <v>0.05</v>
      </c>
      <c r="H377" s="319">
        <f>Inputs!$F$120</f>
        <v>0.05</v>
      </c>
      <c r="I377" s="319">
        <f>Inputs!$F$120</f>
        <v>0.05</v>
      </c>
      <c r="J377" s="319">
        <f>Inputs!$F$120</f>
        <v>0.05</v>
      </c>
      <c r="K377" s="319">
        <f>Inputs!$F$120</f>
        <v>0.05</v>
      </c>
      <c r="L377" s="319">
        <f>Inputs!$F$120</f>
        <v>0.05</v>
      </c>
      <c r="M377" s="319">
        <f>Inputs!$F$120</f>
        <v>0.05</v>
      </c>
      <c r="N377" s="319">
        <f>Inputs!$F$120</f>
        <v>0.05</v>
      </c>
      <c r="O377" s="319">
        <f>Inputs!$F$120</f>
        <v>0.05</v>
      </c>
      <c r="P377" s="319">
        <f>Inputs!$F$120</f>
        <v>0.05</v>
      </c>
      <c r="Q377" s="319">
        <f>Inputs!$F$120</f>
        <v>0.05</v>
      </c>
      <c r="R377" s="319">
        <f>Inputs!$F$120</f>
        <v>0.05</v>
      </c>
      <c r="S377" s="319">
        <f>Inputs!$F$120</f>
        <v>0.05</v>
      </c>
      <c r="T377" s="319">
        <f>Inputs!$F$120</f>
        <v>0.05</v>
      </c>
      <c r="U377" s="319">
        <f>Inputs!$F$120</f>
        <v>0.05</v>
      </c>
      <c r="V377" s="319">
        <f>Inputs!$F$120</f>
        <v>0.05</v>
      </c>
      <c r="W377" s="319">
        <f>Inputs!$F$120</f>
        <v>0.05</v>
      </c>
      <c r="X377" s="319">
        <f>Inputs!$F$120</f>
        <v>0.05</v>
      </c>
      <c r="Y377" s="319">
        <f>Inputs!$F$120</f>
        <v>0.05</v>
      </c>
      <c r="Z377" s="319">
        <f>Inputs!$F$120</f>
        <v>0.05</v>
      </c>
      <c r="AA377" s="319">
        <f>Inputs!$F$120</f>
        <v>0.05</v>
      </c>
      <c r="AB377" s="319">
        <f>Inputs!$F$120</f>
        <v>0.05</v>
      </c>
      <c r="AC377" s="319">
        <f>Inputs!$F$120</f>
        <v>0.05</v>
      </c>
      <c r="AD377" s="319">
        <f>Inputs!$F$120</f>
        <v>0.05</v>
      </c>
    </row>
    <row r="378" spans="2:30" hidden="1" outlineLevel="1" x14ac:dyDescent="0.3">
      <c r="B378" s="165" t="s">
        <v>240</v>
      </c>
      <c r="G378" s="319">
        <f>Inputs!$F$121</f>
        <v>0.05</v>
      </c>
      <c r="H378" s="319">
        <f>Inputs!$F$121</f>
        <v>0.05</v>
      </c>
      <c r="I378" s="319">
        <f>Inputs!$F$121</f>
        <v>0.05</v>
      </c>
      <c r="J378" s="319">
        <f>Inputs!$F$121</f>
        <v>0.05</v>
      </c>
      <c r="K378" s="319">
        <f>Inputs!$F$121</f>
        <v>0.05</v>
      </c>
      <c r="L378" s="319">
        <f>Inputs!$F$121</f>
        <v>0.05</v>
      </c>
      <c r="M378" s="319">
        <f>Inputs!$F$121</f>
        <v>0.05</v>
      </c>
      <c r="N378" s="319">
        <f>Inputs!$F$121</f>
        <v>0.05</v>
      </c>
      <c r="O378" s="319">
        <f>Inputs!$F$121</f>
        <v>0.05</v>
      </c>
      <c r="P378" s="319">
        <f>Inputs!$F$121</f>
        <v>0.05</v>
      </c>
      <c r="Q378" s="319">
        <f>Inputs!$F$121</f>
        <v>0.05</v>
      </c>
      <c r="R378" s="319">
        <f>Inputs!$F$121</f>
        <v>0.05</v>
      </c>
      <c r="S378" s="319">
        <f>Inputs!$F$121</f>
        <v>0.05</v>
      </c>
      <c r="T378" s="319">
        <f>Inputs!$F$121</f>
        <v>0.05</v>
      </c>
      <c r="U378" s="319">
        <f>Inputs!$F$121</f>
        <v>0.05</v>
      </c>
      <c r="V378" s="319">
        <f>Inputs!$F$121</f>
        <v>0.05</v>
      </c>
      <c r="W378" s="319">
        <f>Inputs!$F$121</f>
        <v>0.05</v>
      </c>
      <c r="X378" s="319">
        <f>Inputs!$F$121</f>
        <v>0.05</v>
      </c>
      <c r="Y378" s="319">
        <f>Inputs!$F$121</f>
        <v>0.05</v>
      </c>
      <c r="Z378" s="319">
        <f>Inputs!$F$121</f>
        <v>0.05</v>
      </c>
      <c r="AA378" s="319">
        <f>Inputs!$F$121</f>
        <v>0.05</v>
      </c>
      <c r="AB378" s="319">
        <f>Inputs!$F$121</f>
        <v>0.05</v>
      </c>
      <c r="AC378" s="319">
        <f>Inputs!$F$121</f>
        <v>0.05</v>
      </c>
      <c r="AD378" s="319">
        <f>Inputs!$F$121</f>
        <v>0.05</v>
      </c>
    </row>
    <row r="379" spans="2:30" hidden="1" outlineLevel="1" x14ac:dyDescent="0.3">
      <c r="G379" s="297"/>
      <c r="H379" s="297"/>
      <c r="I379" s="297"/>
      <c r="J379" s="297"/>
      <c r="K379" s="297"/>
      <c r="L379" s="297"/>
      <c r="M379" s="297"/>
      <c r="N379" s="297"/>
      <c r="O379" s="297"/>
      <c r="P379" s="297"/>
      <c r="Q379" s="297"/>
      <c r="R379" s="297"/>
      <c r="S379" s="297"/>
      <c r="T379" s="297"/>
      <c r="U379" s="297"/>
      <c r="V379" s="297"/>
      <c r="W379" s="297"/>
      <c r="X379" s="297"/>
      <c r="Y379" s="297"/>
      <c r="Z379" s="297"/>
      <c r="AA379" s="297"/>
      <c r="AB379" s="297"/>
      <c r="AC379" s="297"/>
      <c r="AD379" s="297"/>
    </row>
    <row r="380" spans="2:30" hidden="1" outlineLevel="1" x14ac:dyDescent="0.3">
      <c r="B380" s="172" t="s">
        <v>241</v>
      </c>
      <c r="G380" s="297"/>
      <c r="H380" s="297"/>
      <c r="I380" s="297"/>
      <c r="J380" s="297"/>
      <c r="K380" s="297"/>
      <c r="L380" s="297"/>
      <c r="M380" s="297"/>
      <c r="N380" s="297"/>
      <c r="O380" s="297"/>
      <c r="P380" s="297"/>
      <c r="Q380" s="297"/>
      <c r="R380" s="297"/>
      <c r="S380" s="297"/>
      <c r="T380" s="297"/>
      <c r="U380" s="297"/>
      <c r="V380" s="297"/>
      <c r="W380" s="297"/>
      <c r="X380" s="297"/>
      <c r="Y380" s="297"/>
      <c r="Z380" s="297"/>
      <c r="AA380" s="297"/>
      <c r="AB380" s="297"/>
      <c r="AC380" s="297"/>
      <c r="AD380" s="297"/>
    </row>
    <row r="381" spans="2:30" hidden="1" outlineLevel="1" x14ac:dyDescent="0.3">
      <c r="B381" s="174" t="s">
        <v>175</v>
      </c>
      <c r="G381" s="294">
        <f>G371*G375/G370</f>
        <v>943.66356000000007</v>
      </c>
      <c r="H381" s="292">
        <f t="shared" ref="H381:AD381" si="148">H371*H375/H370</f>
        <v>964.76779275307194</v>
      </c>
      <c r="I381" s="295">
        <f t="shared" si="148"/>
        <v>985.61426944747279</v>
      </c>
      <c r="J381" s="292">
        <f t="shared" si="148"/>
        <v>1006.2534480344015</v>
      </c>
      <c r="K381" s="292">
        <f t="shared" si="148"/>
        <v>1026.7347505595915</v>
      </c>
      <c r="L381" s="295">
        <f t="shared" si="148"/>
        <v>1047.1066385319211</v>
      </c>
      <c r="M381" s="292">
        <f t="shared" si="148"/>
        <v>1067.416686437761</v>
      </c>
      <c r="N381" s="292">
        <f t="shared" si="148"/>
        <v>1087.7116535066887</v>
      </c>
      <c r="O381" s="295">
        <f t="shared" si="148"/>
        <v>1108.0375538312562</v>
      </c>
      <c r="P381" s="292">
        <f t="shared" si="148"/>
        <v>1128.4397249406898</v>
      </c>
      <c r="Q381" s="292">
        <f t="shared" si="148"/>
        <v>1148.9628949257592</v>
      </c>
      <c r="R381" s="295">
        <f t="shared" si="148"/>
        <v>1169.6512482095402</v>
      </c>
      <c r="S381" s="292">
        <f t="shared" si="148"/>
        <v>1196.1849658204264</v>
      </c>
      <c r="T381" s="292">
        <f t="shared" si="148"/>
        <v>1222.9253107397922</v>
      </c>
      <c r="U381" s="295">
        <f t="shared" si="148"/>
        <v>1249.9109627082082</v>
      </c>
      <c r="V381" s="292">
        <f t="shared" si="148"/>
        <v>1277.1802230973638</v>
      </c>
      <c r="W381" s="292">
        <f t="shared" si="148"/>
        <v>1304.7710642576392</v>
      </c>
      <c r="X381" s="295">
        <f t="shared" si="148"/>
        <v>1332.7211778644023</v>
      </c>
      <c r="Y381" s="292">
        <f t="shared" si="148"/>
        <v>1361.0680223289044</v>
      </c>
      <c r="Z381" s="292">
        <f t="shared" si="148"/>
        <v>1389.8488693378176</v>
      </c>
      <c r="AA381" s="295">
        <f t="shared" si="148"/>
        <v>1419.1008495837143</v>
      </c>
      <c r="AB381" s="292">
        <f t="shared" si="148"/>
        <v>1448.860997747121</v>
      </c>
      <c r="AC381" s="292">
        <f t="shared" si="148"/>
        <v>1479.1662967892375</v>
      </c>
      <c r="AD381" s="295">
        <f t="shared" si="148"/>
        <v>1510.0537216128973</v>
      </c>
    </row>
    <row r="382" spans="2:30" hidden="1" outlineLevel="1" x14ac:dyDescent="0.3">
      <c r="B382" s="174" t="s">
        <v>181</v>
      </c>
      <c r="G382" s="296">
        <f>G372*G376/G370</f>
        <v>397.25191799999999</v>
      </c>
      <c r="H382" s="297">
        <f t="shared" ref="H382:AD382" si="149">H372*H376/H370</f>
        <v>406.13611920734161</v>
      </c>
      <c r="I382" s="298">
        <f t="shared" si="149"/>
        <v>414.9118134286943</v>
      </c>
      <c r="J382" s="297">
        <f t="shared" si="149"/>
        <v>423.60024183383678</v>
      </c>
      <c r="K382" s="297">
        <f t="shared" si="149"/>
        <v>432.22220950976356</v>
      </c>
      <c r="L382" s="298">
        <f t="shared" si="149"/>
        <v>440.7981171884378</v>
      </c>
      <c r="M382" s="297">
        <f t="shared" si="149"/>
        <v>449.34799219396064</v>
      </c>
      <c r="N382" s="297">
        <f t="shared" si="149"/>
        <v>457.89151865362226</v>
      </c>
      <c r="O382" s="298">
        <f t="shared" si="149"/>
        <v>466.4480670160612</v>
      </c>
      <c r="P382" s="297">
        <f t="shared" si="149"/>
        <v>475.03672291858055</v>
      </c>
      <c r="Q382" s="297">
        <f t="shared" si="149"/>
        <v>483.67631544455344</v>
      </c>
      <c r="R382" s="298">
        <f t="shared" si="149"/>
        <v>492.38544481079043</v>
      </c>
      <c r="S382" s="297">
        <f>S372*S376/S370</f>
        <v>500.08248893653973</v>
      </c>
      <c r="T382" s="297">
        <f t="shared" si="149"/>
        <v>507.71124997487516</v>
      </c>
      <c r="U382" s="298">
        <f t="shared" si="149"/>
        <v>515.28587430357754</v>
      </c>
      <c r="V382" s="297">
        <f t="shared" si="149"/>
        <v>522.81990422921137</v>
      </c>
      <c r="W382" s="297">
        <f t="shared" si="149"/>
        <v>530.32630353697618</v>
      </c>
      <c r="X382" s="298">
        <f t="shared" si="149"/>
        <v>537.81748177689292</v>
      </c>
      <c r="Y382" s="297">
        <f t="shared" si="149"/>
        <v>545.30531733306441</v>
      </c>
      <c r="Z382" s="297">
        <f t="shared" si="149"/>
        <v>552.80117932049347</v>
      </c>
      <c r="AA382" s="298">
        <f t="shared" si="149"/>
        <v>560.31594835176338</v>
      </c>
      <c r="AB382" s="297">
        <f t="shared" si="149"/>
        <v>567.8600362137912</v>
      </c>
      <c r="AC382" s="297">
        <f t="shared" si="149"/>
        <v>579.73775825771759</v>
      </c>
      <c r="AD382" s="298">
        <f t="shared" si="149"/>
        <v>591.84363605150668</v>
      </c>
    </row>
    <row r="383" spans="2:30" hidden="1" outlineLevel="1" x14ac:dyDescent="0.3">
      <c r="B383" s="174" t="s">
        <v>190</v>
      </c>
      <c r="G383" s="296">
        <f t="shared" ref="G383:AD383" si="150">G252*G377</f>
        <v>34.607333333333337</v>
      </c>
      <c r="H383" s="297">
        <f t="shared" si="150"/>
        <v>35.603666666666669</v>
      </c>
      <c r="I383" s="298">
        <f t="shared" si="150"/>
        <v>36.6</v>
      </c>
      <c r="J383" s="297">
        <f t="shared" si="150"/>
        <v>37.596333333333341</v>
      </c>
      <c r="K383" s="297">
        <f t="shared" si="150"/>
        <v>38.592666666666673</v>
      </c>
      <c r="L383" s="298">
        <f t="shared" si="150"/>
        <v>39.589000000000006</v>
      </c>
      <c r="M383" s="297">
        <f t="shared" si="150"/>
        <v>40.585333333333338</v>
      </c>
      <c r="N383" s="297">
        <f t="shared" si="150"/>
        <v>41.581666666666671</v>
      </c>
      <c r="O383" s="298">
        <f t="shared" si="150"/>
        <v>42.578000000000003</v>
      </c>
      <c r="P383" s="297">
        <f t="shared" si="150"/>
        <v>43.574333333333335</v>
      </c>
      <c r="Q383" s="297">
        <f t="shared" si="150"/>
        <v>44.570666666666675</v>
      </c>
      <c r="R383" s="298">
        <f t="shared" si="150"/>
        <v>45.567000000000007</v>
      </c>
      <c r="S383" s="297">
        <f t="shared" si="150"/>
        <v>46.309166666666663</v>
      </c>
      <c r="T383" s="297">
        <f t="shared" si="150"/>
        <v>46.804537499999995</v>
      </c>
      <c r="U383" s="298">
        <f t="shared" si="150"/>
        <v>47.30727916666666</v>
      </c>
      <c r="V383" s="297">
        <f t="shared" si="150"/>
        <v>47.81002083333334</v>
      </c>
      <c r="W383" s="297">
        <f t="shared" si="150"/>
        <v>48.312762499999998</v>
      </c>
      <c r="X383" s="298">
        <f t="shared" si="150"/>
        <v>48.81550416666667</v>
      </c>
      <c r="Y383" s="297">
        <f t="shared" si="150"/>
        <v>49.318245833333336</v>
      </c>
      <c r="Z383" s="297">
        <f t="shared" si="150"/>
        <v>49.820987500000001</v>
      </c>
      <c r="AA383" s="298">
        <f t="shared" si="150"/>
        <v>50.323729166666674</v>
      </c>
      <c r="AB383" s="297">
        <f t="shared" si="150"/>
        <v>50.826470833333339</v>
      </c>
      <c r="AC383" s="297">
        <f t="shared" si="150"/>
        <v>51.329212500000011</v>
      </c>
      <c r="AD383" s="298">
        <f t="shared" si="150"/>
        <v>51.831954166666662</v>
      </c>
    </row>
    <row r="384" spans="2:30" hidden="1" outlineLevel="1" x14ac:dyDescent="0.3">
      <c r="B384" s="174" t="s">
        <v>240</v>
      </c>
      <c r="G384" s="338">
        <f t="shared" ref="G384:AD384" si="151">G297*G378</f>
        <v>4.5661139999999998</v>
      </c>
      <c r="H384" s="287">
        <f t="shared" si="151"/>
        <v>4.6682312552568002</v>
      </c>
      <c r="I384" s="339">
        <f t="shared" si="151"/>
        <v>4.7691013037780952</v>
      </c>
      <c r="J384" s="287">
        <f t="shared" si="151"/>
        <v>4.8689682969406531</v>
      </c>
      <c r="K384" s="287">
        <f t="shared" si="151"/>
        <v>4.9680713736754436</v>
      </c>
      <c r="L384" s="339">
        <f t="shared" si="151"/>
        <v>5.0666450251544575</v>
      </c>
      <c r="M384" s="287">
        <f t="shared" si="151"/>
        <v>5.1649194505052947</v>
      </c>
      <c r="N384" s="287">
        <f t="shared" si="151"/>
        <v>5.2631209040646239</v>
      </c>
      <c r="O384" s="339">
        <f t="shared" si="151"/>
        <v>5.3614720346673703</v>
      </c>
      <c r="P384" s="287">
        <f t="shared" si="151"/>
        <v>5.4601922174549493</v>
      </c>
      <c r="Q384" s="287">
        <f t="shared" si="151"/>
        <v>5.559497878673028</v>
      </c>
      <c r="R384" s="339">
        <f t="shared" si="151"/>
        <v>5.6596028139171324</v>
      </c>
      <c r="S384" s="287">
        <f t="shared" si="151"/>
        <v>5.7301118523978518</v>
      </c>
      <c r="T384" s="287">
        <f t="shared" si="151"/>
        <v>5.7990329251209518</v>
      </c>
      <c r="U384" s="339">
        <f t="shared" si="151"/>
        <v>5.8665175830336898</v>
      </c>
      <c r="V384" s="287">
        <f t="shared" si="151"/>
        <v>5.9327081330974352</v>
      </c>
      <c r="W384" s="287">
        <f t="shared" si="151"/>
        <v>5.9977379566681837</v>
      </c>
      <c r="X384" s="339">
        <f t="shared" si="151"/>
        <v>6.0617318089961554</v>
      </c>
      <c r="Y384" s="287">
        <f t="shared" si="151"/>
        <v>6.1248061004800718</v>
      </c>
      <c r="Z384" s="287">
        <f t="shared" si="151"/>
        <v>6.1870691602780292</v>
      </c>
      <c r="AA384" s="339">
        <f t="shared" si="151"/>
        <v>6.2486214828444213</v>
      </c>
      <c r="AB384" s="287">
        <f t="shared" si="151"/>
        <v>6.3095559579310141</v>
      </c>
      <c r="AC384" s="287">
        <f t="shared" si="151"/>
        <v>6.4415306473079728</v>
      </c>
      <c r="AD384" s="339">
        <f t="shared" si="151"/>
        <v>6.5760404005722979</v>
      </c>
    </row>
    <row r="385" spans="1:30" hidden="1" outlineLevel="1" x14ac:dyDescent="0.3">
      <c r="G385" s="297"/>
      <c r="H385" s="297"/>
      <c r="I385" s="297"/>
      <c r="J385" s="297"/>
      <c r="K385" s="297"/>
      <c r="L385" s="297"/>
      <c r="M385" s="297"/>
      <c r="N385" s="297"/>
      <c r="O385" s="297"/>
      <c r="P385" s="297"/>
      <c r="Q385" s="297"/>
      <c r="R385" s="297"/>
      <c r="S385" s="297"/>
      <c r="T385" s="297"/>
      <c r="U385" s="297"/>
      <c r="V385" s="297"/>
      <c r="W385" s="297"/>
      <c r="X385" s="297"/>
      <c r="Y385" s="297"/>
      <c r="Z385" s="297"/>
      <c r="AA385" s="297"/>
      <c r="AB385" s="297"/>
      <c r="AC385" s="297"/>
      <c r="AD385" s="297"/>
    </row>
    <row r="386" spans="1:30" hidden="1" outlineLevel="1" x14ac:dyDescent="0.3">
      <c r="B386" s="172" t="s">
        <v>197</v>
      </c>
      <c r="G386" s="297"/>
      <c r="H386" s="297"/>
      <c r="I386" s="297"/>
      <c r="J386" s="297"/>
      <c r="K386" s="297"/>
      <c r="L386" s="297"/>
      <c r="M386" s="297"/>
      <c r="N386" s="297"/>
      <c r="O386" s="297"/>
      <c r="P386" s="297"/>
      <c r="Q386" s="297"/>
      <c r="R386" s="297"/>
      <c r="S386" s="297"/>
      <c r="T386" s="297"/>
      <c r="U386" s="297"/>
      <c r="V386" s="297"/>
      <c r="W386" s="297"/>
      <c r="X386" s="297"/>
      <c r="Y386" s="297"/>
      <c r="Z386" s="297"/>
      <c r="AA386" s="297"/>
      <c r="AB386" s="297"/>
      <c r="AC386" s="297"/>
      <c r="AD386" s="297"/>
    </row>
    <row r="387" spans="1:30" hidden="1" outlineLevel="1" x14ac:dyDescent="0.3">
      <c r="B387" s="174" t="s">
        <v>198</v>
      </c>
      <c r="G387" s="294">
        <f>IF(Inputs!E190&gt;0,'Operational Model'!G381-Inputs!E190,'Operational Model'!G381-'Operational Model'!F381)</f>
        <v>21.663560000000075</v>
      </c>
      <c r="H387" s="292">
        <f>IF(Inputs!F190&gt;0,'Operational Model'!H381-Inputs!F190,'Operational Model'!H381-'Operational Model'!G381)</f>
        <v>21.104232753071869</v>
      </c>
      <c r="I387" s="295">
        <f>IF(Inputs!G190&gt;0,'Operational Model'!I381-Inputs!G190,'Operational Model'!I381-'Operational Model'!H381)</f>
        <v>20.846476694400849</v>
      </c>
      <c r="J387" s="292">
        <f>IF(Inputs!H190&gt;0,'Operational Model'!J381-Inputs!H190,'Operational Model'!J381-'Operational Model'!I381)</f>
        <v>20.639178586928665</v>
      </c>
      <c r="K387" s="292">
        <f>IF(Inputs!I190&gt;0,'Operational Model'!K381-Inputs!I190,'Operational Model'!K381-'Operational Model'!J381)</f>
        <v>20.481302525190017</v>
      </c>
      <c r="L387" s="295">
        <f>IF(Inputs!J190&gt;0,'Operational Model'!L381-Inputs!J190,'Operational Model'!L381-'Operational Model'!K381)</f>
        <v>20.37188797232966</v>
      </c>
      <c r="M387" s="292">
        <f>IF(Inputs!K190&gt;0,'Operational Model'!M381-Inputs!K190,'Operational Model'!M381-'Operational Model'!L381)</f>
        <v>20.310047905839838</v>
      </c>
      <c r="N387" s="292">
        <f>IF(Inputs!L190&gt;0,'Operational Model'!N381-Inputs!L190,'Operational Model'!N381-'Operational Model'!M381)</f>
        <v>20.29496706892769</v>
      </c>
      <c r="O387" s="295">
        <f>IF(Inputs!M190&gt;0,'Operational Model'!O381-Inputs!M190,'Operational Model'!O381-'Operational Model'!N381)</f>
        <v>20.325900324567556</v>
      </c>
      <c r="P387" s="292">
        <f>IF(Inputs!N190&gt;0,'Operational Model'!P381-Inputs!N190,'Operational Model'!P381-'Operational Model'!O381)</f>
        <v>20.402171109433539</v>
      </c>
      <c r="Q387" s="292">
        <f>IF(Inputs!O190&gt;0,'Operational Model'!Q381-Inputs!O190,'Operational Model'!Q381-'Operational Model'!P381)</f>
        <v>20.523169985069444</v>
      </c>
      <c r="R387" s="295">
        <f>IF(Inputs!P190&gt;0,'Operational Model'!R381-Inputs!P190,'Operational Model'!R381-'Operational Model'!Q381)</f>
        <v>20.688353283780998</v>
      </c>
      <c r="S387" s="292">
        <f>IF(Inputs!Q190&gt;0,'Operational Model'!S381-Inputs!Q190,'Operational Model'!S381-'Operational Model'!R381)</f>
        <v>26.533717610886242</v>
      </c>
      <c r="T387" s="292">
        <f>IF(Inputs!R190&gt;0,'Operational Model'!T381-Inputs!R190,'Operational Model'!T381-'Operational Model'!S381)</f>
        <v>26.740344919365725</v>
      </c>
      <c r="U387" s="295">
        <f>IF(Inputs!S190&gt;0,'Operational Model'!U381-Inputs!S190,'Operational Model'!U381-'Operational Model'!T381)</f>
        <v>26.98565196841605</v>
      </c>
      <c r="V387" s="292">
        <f>IF(Inputs!T190&gt;0,'Operational Model'!V381-Inputs!T190,'Operational Model'!V381-'Operational Model'!U381)</f>
        <v>27.269260389155534</v>
      </c>
      <c r="W387" s="292">
        <f>IF(Inputs!U190&gt;0,'Operational Model'!W381-Inputs!U190,'Operational Model'!W381-'Operational Model'!V381)</f>
        <v>27.590841160275431</v>
      </c>
      <c r="X387" s="295">
        <f>IF(Inputs!V190&gt;0,'Operational Model'!X381-Inputs!V190,'Operational Model'!X381-'Operational Model'!W381)</f>
        <v>27.950113606763125</v>
      </c>
      <c r="Y387" s="292">
        <f>IF(Inputs!W190&gt;0,'Operational Model'!Y381-Inputs!W190,'Operational Model'!Y381-'Operational Model'!X381)</f>
        <v>28.346844464502055</v>
      </c>
      <c r="Z387" s="292">
        <f>IF(Inputs!X190&gt;0,'Operational Model'!Z381-Inputs!X190,'Operational Model'!Z381-'Operational Model'!Y381)</f>
        <v>28.78084700891327</v>
      </c>
      <c r="AA387" s="295">
        <f>IF(Inputs!Y190&gt;0,'Operational Model'!AA381-Inputs!Y190,'Operational Model'!AA381-'Operational Model'!Z381)</f>
        <v>29.251980245896675</v>
      </c>
      <c r="AB387" s="292">
        <f>IF(Inputs!Z190&gt;0,'Operational Model'!AB381-Inputs!Z190,'Operational Model'!AB381-'Operational Model'!AA381)</f>
        <v>29.760148163406711</v>
      </c>
      <c r="AC387" s="292">
        <f>IF(Inputs!AA190&gt;0,'Operational Model'!AC381-Inputs!AA190,'Operational Model'!AC381-'Operational Model'!AB381)</f>
        <v>30.30529904211653</v>
      </c>
      <c r="AD387" s="295">
        <f>IF(Inputs!AB190&gt;0,'Operational Model'!AD381-Inputs!AB190,'Operational Model'!AD381-'Operational Model'!AC381)</f>
        <v>30.887424823659785</v>
      </c>
    </row>
    <row r="388" spans="1:30" hidden="1" outlineLevel="1" x14ac:dyDescent="0.3">
      <c r="B388" s="174" t="s">
        <v>199</v>
      </c>
      <c r="G388" s="296">
        <f>IF(Inputs!E191&gt;0,'Operational Model'!G382-Inputs!E191,'Operational Model'!G382-'Operational Model'!F382)</f>
        <v>12.251917999999989</v>
      </c>
      <c r="H388" s="297">
        <f>IF(Inputs!F191&gt;0,'Operational Model'!H382-Inputs!F191,'Operational Model'!H382-'Operational Model'!G382)</f>
        <v>8.8842012073416186</v>
      </c>
      <c r="I388" s="298">
        <f>IF(Inputs!G191&gt;0,'Operational Model'!I382-Inputs!G191,'Operational Model'!I382-'Operational Model'!H382)</f>
        <v>8.7756942213526941</v>
      </c>
      <c r="J388" s="297">
        <f>IF(Inputs!H191&gt;0,'Operational Model'!J382-Inputs!H191,'Operational Model'!J382-'Operational Model'!I382)</f>
        <v>8.6884284051424743</v>
      </c>
      <c r="K388" s="297">
        <f>IF(Inputs!I191&gt;0,'Operational Model'!K382-Inputs!I191,'Operational Model'!K382-'Operational Model'!J382)</f>
        <v>8.6219676759267827</v>
      </c>
      <c r="L388" s="298">
        <f>IF(Inputs!J191&gt;0,'Operational Model'!L382-Inputs!J191,'Operational Model'!L382-'Operational Model'!K382)</f>
        <v>8.5759076786742412</v>
      </c>
      <c r="M388" s="297">
        <f>IF(Inputs!K191&gt;0,'Operational Model'!M382-Inputs!K191,'Operational Model'!M382-'Operational Model'!L382)</f>
        <v>8.5498750055228356</v>
      </c>
      <c r="N388" s="297">
        <f>IF(Inputs!L191&gt;0,'Operational Model'!N382-Inputs!L191,'Operational Model'!N382-'Operational Model'!M382)</f>
        <v>8.5435264596616207</v>
      </c>
      <c r="O388" s="298">
        <f>IF(Inputs!M191&gt;0,'Operational Model'!O382-Inputs!M191,'Operational Model'!O382-'Operational Model'!N382)</f>
        <v>8.5565483624389458</v>
      </c>
      <c r="P388" s="297">
        <f>IF(Inputs!N191&gt;0,'Operational Model'!P382-Inputs!N191,'Operational Model'!P382-'Operational Model'!O382)</f>
        <v>8.5886559025193492</v>
      </c>
      <c r="Q388" s="297">
        <f>IF(Inputs!O191&gt;0,'Operational Model'!Q382-Inputs!O191,'Operational Model'!Q382-'Operational Model'!P382)</f>
        <v>8.639592525972887</v>
      </c>
      <c r="R388" s="298">
        <f>IF(Inputs!P191&gt;0,'Operational Model'!R382-Inputs!P191,'Operational Model'!R382-'Operational Model'!Q382)</f>
        <v>8.7091293662369935</v>
      </c>
      <c r="S388" s="297">
        <f>IF(Inputs!Q191&gt;0,'Operational Model'!S382-Inputs!Q191,'Operational Model'!S382-'Operational Model'!R382)</f>
        <v>7.6970441257493007</v>
      </c>
      <c r="T388" s="297">
        <f>IF(Inputs!R191&gt;0,'Operational Model'!T382-Inputs!R191,'Operational Model'!T382-'Operational Model'!S382)</f>
        <v>7.6287610383354263</v>
      </c>
      <c r="U388" s="298">
        <f>IF(Inputs!S191&gt;0,'Operational Model'!U382-Inputs!S191,'Operational Model'!U382-'Operational Model'!T382)</f>
        <v>7.5746243287023844</v>
      </c>
      <c r="V388" s="297">
        <f>IF(Inputs!T191&gt;0,'Operational Model'!V382-Inputs!T191,'Operational Model'!V382-'Operational Model'!U382)</f>
        <v>7.5340299256338312</v>
      </c>
      <c r="W388" s="297">
        <f>IF(Inputs!U191&gt;0,'Operational Model'!W382-Inputs!U191,'Operational Model'!W382-'Operational Model'!V382)</f>
        <v>7.5063993077648092</v>
      </c>
      <c r="X388" s="298">
        <f>IF(Inputs!V191&gt;0,'Operational Model'!X382-Inputs!V191,'Operational Model'!X382-'Operational Model'!W382)</f>
        <v>7.491178239916735</v>
      </c>
      <c r="Y388" s="297">
        <f>IF(Inputs!W191&gt;0,'Operational Model'!Y382-Inputs!W191,'Operational Model'!Y382-'Operational Model'!X382)</f>
        <v>7.4878355561714898</v>
      </c>
      <c r="Z388" s="297">
        <f>IF(Inputs!X191&gt;0,'Operational Model'!Z382-Inputs!X191,'Operational Model'!Z382-'Operational Model'!Y382)</f>
        <v>7.4958619874290662</v>
      </c>
      <c r="AA388" s="298">
        <f>IF(Inputs!Y191&gt;0,'Operational Model'!AA382-Inputs!Y191,'Operational Model'!AA382-'Operational Model'!Z382)</f>
        <v>7.5147690312699069</v>
      </c>
      <c r="AB388" s="297">
        <f>IF(Inputs!Z191&gt;0,'Operational Model'!AB382-Inputs!Z191,'Operational Model'!AB382-'Operational Model'!AA382)</f>
        <v>7.5440878620278227</v>
      </c>
      <c r="AC388" s="297">
        <f>IF(Inputs!AA191&gt;0,'Operational Model'!AC382-Inputs!AA191,'Operational Model'!AC382-'Operational Model'!AB382)</f>
        <v>11.877722043926383</v>
      </c>
      <c r="AD388" s="298">
        <f>IF(Inputs!AB191&gt;0,'Operational Model'!AD382-Inputs!AB191,'Operational Model'!AD382-'Operational Model'!AC382)</f>
        <v>12.105877793789091</v>
      </c>
    </row>
    <row r="389" spans="1:30" hidden="1" outlineLevel="1" x14ac:dyDescent="0.3">
      <c r="B389" s="174" t="s">
        <v>200</v>
      </c>
      <c r="G389" s="308">
        <f>IF(Inputs!E192&gt;0,'Operational Model'!G383-Inputs!E192,'Operational Model'!G383-'Operational Model'!F383)</f>
        <v>0.60733333333333661</v>
      </c>
      <c r="H389" s="309">
        <f>IF(Inputs!F192&gt;0,'Operational Model'!H383-Inputs!F192,'Operational Model'!H383-'Operational Model'!G383)</f>
        <v>0.9963333333333324</v>
      </c>
      <c r="I389" s="310">
        <f>IF(Inputs!G192&gt;0,'Operational Model'!I383-Inputs!G192,'Operational Model'!I383-'Operational Model'!H383)</f>
        <v>0.9963333333333324</v>
      </c>
      <c r="J389" s="309">
        <f>IF(Inputs!H192&gt;0,'Operational Model'!J383-Inputs!H192,'Operational Model'!J383-'Operational Model'!I383)</f>
        <v>0.99633333333333951</v>
      </c>
      <c r="K389" s="309">
        <f>IF(Inputs!I192&gt;0,'Operational Model'!K383-Inputs!I192,'Operational Model'!K383-'Operational Model'!J383)</f>
        <v>0.9963333333333324</v>
      </c>
      <c r="L389" s="310">
        <f>IF(Inputs!J192&gt;0,'Operational Model'!L383-Inputs!J192,'Operational Model'!L383-'Operational Model'!K383)</f>
        <v>0.9963333333333324</v>
      </c>
      <c r="M389" s="309">
        <f>IF(Inputs!K192&gt;0,'Operational Model'!M383-Inputs!K192,'Operational Model'!M383-'Operational Model'!L383)</f>
        <v>0.9963333333333324</v>
      </c>
      <c r="N389" s="309">
        <f>IF(Inputs!L192&gt;0,'Operational Model'!N383-Inputs!L192,'Operational Model'!N383-'Operational Model'!M383)</f>
        <v>0.9963333333333324</v>
      </c>
      <c r="O389" s="310">
        <f>IF(Inputs!M192&gt;0,'Operational Model'!O383-Inputs!M192,'Operational Model'!O383-'Operational Model'!N383)</f>
        <v>0.9963333333333324</v>
      </c>
      <c r="P389" s="309">
        <f>IF(Inputs!N192&gt;0,'Operational Model'!P383-Inputs!N192,'Operational Model'!P383-'Operational Model'!O383)</f>
        <v>0.9963333333333324</v>
      </c>
      <c r="Q389" s="309">
        <f>IF(Inputs!O192&gt;0,'Operational Model'!Q383-Inputs!O192,'Operational Model'!Q383-'Operational Model'!P383)</f>
        <v>0.99633333333333951</v>
      </c>
      <c r="R389" s="310">
        <f>IF(Inputs!P192&gt;0,'Operational Model'!R383-Inputs!P192,'Operational Model'!R383-'Operational Model'!Q383)</f>
        <v>0.9963333333333324</v>
      </c>
      <c r="S389" s="309">
        <f>IF(Inputs!Q192&gt;0,'Operational Model'!S383-Inputs!Q192,'Operational Model'!S383-'Operational Model'!R383)</f>
        <v>0.74216666666665532</v>
      </c>
      <c r="T389" s="309">
        <f>IF(Inputs!R192&gt;0,'Operational Model'!T383-Inputs!R192,'Operational Model'!T383-'Operational Model'!S383)</f>
        <v>0.49537083333333243</v>
      </c>
      <c r="U389" s="310">
        <f>IF(Inputs!S192&gt;0,'Operational Model'!U383-Inputs!S192,'Operational Model'!U383-'Operational Model'!T383)</f>
        <v>0.50274166666666531</v>
      </c>
      <c r="V389" s="309">
        <f>IF(Inputs!T192&gt;0,'Operational Model'!V383-Inputs!T192,'Operational Model'!V383-'Operational Model'!U383)</f>
        <v>0.50274166666667952</v>
      </c>
      <c r="W389" s="309">
        <f>IF(Inputs!U192&gt;0,'Operational Model'!W383-Inputs!U192,'Operational Model'!W383-'Operational Model'!V383)</f>
        <v>0.5027416666666582</v>
      </c>
      <c r="X389" s="310">
        <f>IF(Inputs!V192&gt;0,'Operational Model'!X383-Inputs!V192,'Operational Model'!X383-'Operational Model'!W383)</f>
        <v>0.50274166666667242</v>
      </c>
      <c r="Y389" s="309">
        <f>IF(Inputs!W192&gt;0,'Operational Model'!Y383-Inputs!W192,'Operational Model'!Y383-'Operational Model'!X383)</f>
        <v>0.50274166666666531</v>
      </c>
      <c r="Z389" s="309">
        <f>IF(Inputs!X192&gt;0,'Operational Model'!Z383-Inputs!X192,'Operational Model'!Z383-'Operational Model'!Y383)</f>
        <v>0.50274166666666531</v>
      </c>
      <c r="AA389" s="310">
        <f>IF(Inputs!Y192&gt;0,'Operational Model'!AA383-Inputs!Y192,'Operational Model'!AA383-'Operational Model'!Z383)</f>
        <v>0.50274166666667242</v>
      </c>
      <c r="AB389" s="309">
        <f>IF(Inputs!Z192&gt;0,'Operational Model'!AB383-Inputs!Z192,'Operational Model'!AB383-'Operational Model'!AA383)</f>
        <v>0.50274166666666531</v>
      </c>
      <c r="AC389" s="309">
        <f>IF(Inputs!AA192&gt;0,'Operational Model'!AC383-Inputs!AA192,'Operational Model'!AC383-'Operational Model'!AB383)</f>
        <v>0.50274166666667242</v>
      </c>
      <c r="AD389" s="310">
        <f>IF(Inputs!AB192&gt;0,'Operational Model'!AD383-Inputs!AB192,'Operational Model'!AD383-'Operational Model'!AC383)</f>
        <v>0.5027416666666511</v>
      </c>
    </row>
    <row r="390" spans="1:30" hidden="1" outlineLevel="1" x14ac:dyDescent="0.3">
      <c r="B390" s="174" t="s">
        <v>201</v>
      </c>
      <c r="G390" s="326">
        <f>IF(Inputs!E193&gt;0,'Operational Model'!G384-Inputs!E193,'Operational Model'!G384-'Operational Model'!F384)</f>
        <v>-0.43388600000000022</v>
      </c>
      <c r="H390" s="327">
        <f>IF(Inputs!F193&gt;0,'Operational Model'!H384-Inputs!F193,'Operational Model'!H384-'Operational Model'!G384)</f>
        <v>0.10211725525680038</v>
      </c>
      <c r="I390" s="328">
        <f>IF(Inputs!G193&gt;0,'Operational Model'!I384-Inputs!G193,'Operational Model'!I384-'Operational Model'!H384)</f>
        <v>0.100870048521295</v>
      </c>
      <c r="J390" s="327">
        <f>IF(Inputs!H193&gt;0,'Operational Model'!J384-Inputs!H193,'Operational Model'!J384-'Operational Model'!I384)</f>
        <v>9.9866993162557982E-2</v>
      </c>
      <c r="K390" s="327">
        <f>IF(Inputs!I193&gt;0,'Operational Model'!K384-Inputs!I193,'Operational Model'!K384-'Operational Model'!J384)</f>
        <v>9.9103076734790463E-2</v>
      </c>
      <c r="L390" s="328">
        <f>IF(Inputs!J193&gt;0,'Operational Model'!L384-Inputs!J193,'Operational Model'!L384-'Operational Model'!K384)</f>
        <v>9.8573651479013868E-2</v>
      </c>
      <c r="M390" s="327">
        <f>IF(Inputs!K193&gt;0,'Operational Model'!M384-Inputs!K193,'Operational Model'!M384-'Operational Model'!L384)</f>
        <v>9.8274425350837191E-2</v>
      </c>
      <c r="N390" s="327">
        <f>IF(Inputs!L193&gt;0,'Operational Model'!N384-Inputs!L193,'Operational Model'!N384-'Operational Model'!M384)</f>
        <v>9.8201453559329188E-2</v>
      </c>
      <c r="O390" s="328">
        <f>IF(Inputs!M193&gt;0,'Operational Model'!O384-Inputs!M193,'Operational Model'!O384-'Operational Model'!N384)</f>
        <v>9.8351130602746473E-2</v>
      </c>
      <c r="P390" s="327">
        <f>IF(Inputs!N193&gt;0,'Operational Model'!P384-Inputs!N193,'Operational Model'!P384-'Operational Model'!O384)</f>
        <v>9.8720182787578992E-2</v>
      </c>
      <c r="Q390" s="327">
        <f>IF(Inputs!O193&gt;0,'Operational Model'!Q384-Inputs!O193,'Operational Model'!Q384-'Operational Model'!P384)</f>
        <v>9.9305661218078711E-2</v>
      </c>
      <c r="R390" s="328">
        <f>IF(Inputs!P193&gt;0,'Operational Model'!R384-Inputs!P193,'Operational Model'!R384-'Operational Model'!Q384)</f>
        <v>0.10010493524410435</v>
      </c>
      <c r="S390" s="327">
        <f>IF(Inputs!Q193&gt;0,'Operational Model'!S384-Inputs!Q193,'Operational Model'!S384-'Operational Model'!R384)</f>
        <v>7.0509038480719433E-2</v>
      </c>
      <c r="T390" s="327">
        <f>IF(Inputs!R193&gt;0,'Operational Model'!T384-Inputs!R193,'Operational Model'!T384-'Operational Model'!S384)</f>
        <v>6.8921072723099996E-2</v>
      </c>
      <c r="U390" s="328">
        <f>IF(Inputs!S193&gt;0,'Operational Model'!U384-Inputs!S193,'Operational Model'!U384-'Operational Model'!T384)</f>
        <v>6.7484657912737944E-2</v>
      </c>
      <c r="V390" s="327">
        <f>IF(Inputs!T193&gt;0,'Operational Model'!V384-Inputs!T193,'Operational Model'!V384-'Operational Model'!U384)</f>
        <v>6.6190550063745413E-2</v>
      </c>
      <c r="W390" s="327">
        <f>IF(Inputs!U193&gt;0,'Operational Model'!W384-Inputs!U193,'Operational Model'!W384-'Operational Model'!V384)</f>
        <v>6.5029823570748491E-2</v>
      </c>
      <c r="X390" s="328">
        <f>IF(Inputs!V193&gt;0,'Operational Model'!X384-Inputs!V193,'Operational Model'!X384-'Operational Model'!W384)</f>
        <v>6.3993852327971723E-2</v>
      </c>
      <c r="Y390" s="327">
        <f>IF(Inputs!W193&gt;0,'Operational Model'!Y384-Inputs!W193,'Operational Model'!Y384-'Operational Model'!X384)</f>
        <v>6.3074291483916411E-2</v>
      </c>
      <c r="Z390" s="327">
        <f>IF(Inputs!X193&gt;0,'Operational Model'!Z384-Inputs!X193,'Operational Model'!Z384-'Operational Model'!Y384)</f>
        <v>6.2263059797957432E-2</v>
      </c>
      <c r="AA390" s="328">
        <f>IF(Inputs!Y193&gt;0,'Operational Model'!AA384-Inputs!Y193,'Operational Model'!AA384-'Operational Model'!Z384)</f>
        <v>6.1552322566392093E-2</v>
      </c>
      <c r="AB390" s="327">
        <f>IF(Inputs!Z193&gt;0,'Operational Model'!AB384-Inputs!Z193,'Operational Model'!AB384-'Operational Model'!AA384)</f>
        <v>6.0934475086592776E-2</v>
      </c>
      <c r="AC390" s="327">
        <f>IF(Inputs!AA193&gt;0,'Operational Model'!AC384-Inputs!AA193,'Operational Model'!AC384-'Operational Model'!AB384)</f>
        <v>0.13197468937695866</v>
      </c>
      <c r="AD390" s="328">
        <f>IF(Inputs!AB193&gt;0,'Operational Model'!AD384-Inputs!AB193,'Operational Model'!AD384-'Operational Model'!AC384)</f>
        <v>0.13450975326432513</v>
      </c>
    </row>
    <row r="391" spans="1:30" ht="15.75" hidden="1" outlineLevel="1" thickBot="1" x14ac:dyDescent="0.35"/>
    <row r="392" spans="1:30" hidden="1" outlineLevel="1" x14ac:dyDescent="0.3">
      <c r="B392" s="172" t="s">
        <v>242</v>
      </c>
      <c r="G392" s="288">
        <f>-G387+G388+G389-G390</f>
        <v>-8.3704226666667481</v>
      </c>
      <c r="H392" s="288">
        <f t="shared" ref="H392:AD392" si="152">-H387+H388+H389-H390</f>
        <v>-11.325815467653719</v>
      </c>
      <c r="I392" s="288">
        <f t="shared" si="152"/>
        <v>-11.175319188236116</v>
      </c>
      <c r="J392" s="288">
        <f t="shared" si="152"/>
        <v>-11.054283841615408</v>
      </c>
      <c r="K392" s="288">
        <f t="shared" si="152"/>
        <v>-10.962104592664693</v>
      </c>
      <c r="L392" s="288">
        <f t="shared" si="152"/>
        <v>-10.898220611801101</v>
      </c>
      <c r="M392" s="288">
        <f t="shared" si="152"/>
        <v>-10.862113992334507</v>
      </c>
      <c r="N392" s="288">
        <f t="shared" si="152"/>
        <v>-10.853308729492067</v>
      </c>
      <c r="O392" s="288">
        <f t="shared" si="152"/>
        <v>-10.871369759398025</v>
      </c>
      <c r="P392" s="288">
        <f t="shared" si="152"/>
        <v>-10.915902056368436</v>
      </c>
      <c r="Q392" s="288">
        <f t="shared" si="152"/>
        <v>-10.986549786981296</v>
      </c>
      <c r="R392" s="288">
        <f t="shared" si="152"/>
        <v>-11.082995519454776</v>
      </c>
      <c r="S392" s="288">
        <f t="shared" si="152"/>
        <v>-18.165015856951005</v>
      </c>
      <c r="T392" s="288">
        <f t="shared" si="152"/>
        <v>-18.685134120420066</v>
      </c>
      <c r="U392" s="288">
        <f t="shared" si="152"/>
        <v>-18.975770630959737</v>
      </c>
      <c r="V392" s="288">
        <f t="shared" si="152"/>
        <v>-19.298679346918767</v>
      </c>
      <c r="W392" s="288">
        <f t="shared" si="152"/>
        <v>-19.646730009414711</v>
      </c>
      <c r="X392" s="288">
        <f t="shared" si="152"/>
        <v>-20.020187552507689</v>
      </c>
      <c r="Y392" s="288">
        <f t="shared" si="152"/>
        <v>-20.419341533147815</v>
      </c>
      <c r="Z392" s="288">
        <f t="shared" si="152"/>
        <v>-20.844506414615495</v>
      </c>
      <c r="AA392" s="288">
        <f t="shared" si="152"/>
        <v>-21.296021870526488</v>
      </c>
      <c r="AB392" s="288">
        <f t="shared" si="152"/>
        <v>-21.774253109798817</v>
      </c>
      <c r="AC392" s="288">
        <f t="shared" si="152"/>
        <v>-18.056810020900436</v>
      </c>
      <c r="AD392" s="288">
        <f t="shared" si="152"/>
        <v>-18.413315116468368</v>
      </c>
    </row>
    <row r="393" spans="1:30" hidden="1" outlineLevel="1" x14ac:dyDescent="0.3">
      <c r="B393" s="172"/>
    </row>
    <row r="394" spans="1:30" hidden="1" outlineLevel="1" x14ac:dyDescent="0.3"/>
    <row r="395" spans="1:30" collapsed="1" x14ac:dyDescent="0.3"/>
    <row r="396" spans="1:30" ht="21" x14ac:dyDescent="0.3">
      <c r="A396" s="149" t="s">
        <v>33</v>
      </c>
      <c r="B396" s="152" t="s">
        <v>218</v>
      </c>
      <c r="C396" s="153"/>
      <c r="D396" s="153"/>
      <c r="E396" s="153"/>
      <c r="F396" s="153"/>
      <c r="G396" s="153"/>
      <c r="H396" s="153"/>
      <c r="I396" s="153"/>
      <c r="J396" s="153"/>
      <c r="K396" s="153"/>
      <c r="L396" s="153"/>
      <c r="M396" s="153"/>
      <c r="N396" s="153"/>
      <c r="O396" s="153"/>
      <c r="P396" s="153"/>
      <c r="Q396" s="153"/>
      <c r="R396" s="153"/>
      <c r="S396" s="153"/>
      <c r="T396" s="153"/>
      <c r="U396" s="153"/>
      <c r="V396" s="153"/>
      <c r="W396" s="153"/>
      <c r="X396" s="153"/>
      <c r="Y396" s="153"/>
      <c r="Z396" s="153"/>
      <c r="AA396" s="153"/>
      <c r="AB396" s="153"/>
      <c r="AC396" s="153"/>
      <c r="AD396" s="153"/>
    </row>
    <row r="397" spans="1:30" hidden="1" outlineLevel="1" x14ac:dyDescent="0.3">
      <c r="B397" s="165"/>
    </row>
    <row r="398" spans="1:30" hidden="1" outlineLevel="1" x14ac:dyDescent="0.3">
      <c r="B398" s="155" t="s">
        <v>24</v>
      </c>
      <c r="G398" s="156">
        <f>G$5</f>
        <v>2026</v>
      </c>
      <c r="H398" s="157">
        <f t="shared" ref="H398:AD398" si="153">H$5</f>
        <v>2026</v>
      </c>
      <c r="I398" s="158">
        <f t="shared" si="153"/>
        <v>2026</v>
      </c>
      <c r="J398" s="157">
        <f t="shared" si="153"/>
        <v>2026</v>
      </c>
      <c r="K398" s="157">
        <f t="shared" si="153"/>
        <v>2026</v>
      </c>
      <c r="L398" s="158">
        <f t="shared" si="153"/>
        <v>2026</v>
      </c>
      <c r="M398" s="157">
        <f t="shared" si="153"/>
        <v>2026</v>
      </c>
      <c r="N398" s="157">
        <f t="shared" si="153"/>
        <v>2026</v>
      </c>
      <c r="O398" s="158">
        <f t="shared" si="153"/>
        <v>2026</v>
      </c>
      <c r="P398" s="157">
        <f t="shared" si="153"/>
        <v>2026</v>
      </c>
      <c r="Q398" s="157">
        <f t="shared" si="153"/>
        <v>2026</v>
      </c>
      <c r="R398" s="159">
        <f t="shared" si="153"/>
        <v>2026</v>
      </c>
      <c r="S398" s="157">
        <f t="shared" si="153"/>
        <v>2027</v>
      </c>
      <c r="T398" s="157">
        <f t="shared" si="153"/>
        <v>2027</v>
      </c>
      <c r="U398" s="158">
        <f t="shared" si="153"/>
        <v>2027</v>
      </c>
      <c r="V398" s="157">
        <f t="shared" si="153"/>
        <v>2027</v>
      </c>
      <c r="W398" s="157">
        <f t="shared" si="153"/>
        <v>2027</v>
      </c>
      <c r="X398" s="158">
        <f t="shared" si="153"/>
        <v>2027</v>
      </c>
      <c r="Y398" s="157">
        <f t="shared" si="153"/>
        <v>2027</v>
      </c>
      <c r="Z398" s="157">
        <f t="shared" si="153"/>
        <v>2027</v>
      </c>
      <c r="AA398" s="158">
        <f t="shared" si="153"/>
        <v>2027</v>
      </c>
      <c r="AB398" s="157">
        <f t="shared" si="153"/>
        <v>2027</v>
      </c>
      <c r="AC398" s="157">
        <f t="shared" si="153"/>
        <v>2027</v>
      </c>
      <c r="AD398" s="159">
        <f t="shared" si="153"/>
        <v>2027</v>
      </c>
    </row>
    <row r="399" spans="1:30" hidden="1" outlineLevel="1" x14ac:dyDescent="0.3">
      <c r="B399" s="155" t="str" cm="1">
        <f t="array" ref="B399">CONCATENATE("Model Running: ",INDEX(Inputs!$B$15:$B$17,Inputs!$D$8)," Drivers")</f>
        <v>Model Running: Base Case Drivers</v>
      </c>
      <c r="G399" s="161">
        <f>G$6</f>
        <v>1</v>
      </c>
      <c r="H399" s="162">
        <f t="shared" ref="H399:AD399" si="154">H$6</f>
        <v>1</v>
      </c>
      <c r="I399" s="163">
        <f t="shared" si="154"/>
        <v>1</v>
      </c>
      <c r="J399" s="162">
        <f t="shared" si="154"/>
        <v>2</v>
      </c>
      <c r="K399" s="162">
        <f t="shared" si="154"/>
        <v>2</v>
      </c>
      <c r="L399" s="163">
        <f t="shared" si="154"/>
        <v>2</v>
      </c>
      <c r="M399" s="162">
        <f t="shared" si="154"/>
        <v>3</v>
      </c>
      <c r="N399" s="162">
        <f t="shared" si="154"/>
        <v>3</v>
      </c>
      <c r="O399" s="163">
        <f t="shared" si="154"/>
        <v>3</v>
      </c>
      <c r="P399" s="162">
        <f t="shared" si="154"/>
        <v>4</v>
      </c>
      <c r="Q399" s="162">
        <f t="shared" si="154"/>
        <v>4</v>
      </c>
      <c r="R399" s="164">
        <f t="shared" si="154"/>
        <v>4</v>
      </c>
      <c r="S399" s="162">
        <f t="shared" si="154"/>
        <v>1</v>
      </c>
      <c r="T399" s="162">
        <f t="shared" si="154"/>
        <v>1</v>
      </c>
      <c r="U399" s="163">
        <f t="shared" si="154"/>
        <v>1</v>
      </c>
      <c r="V399" s="162">
        <f t="shared" si="154"/>
        <v>2</v>
      </c>
      <c r="W399" s="162">
        <f t="shared" si="154"/>
        <v>2</v>
      </c>
      <c r="X399" s="163">
        <f t="shared" si="154"/>
        <v>2</v>
      </c>
      <c r="Y399" s="162">
        <f t="shared" si="154"/>
        <v>3</v>
      </c>
      <c r="Z399" s="162">
        <f t="shared" si="154"/>
        <v>3</v>
      </c>
      <c r="AA399" s="163">
        <f t="shared" si="154"/>
        <v>3</v>
      </c>
      <c r="AB399" s="162">
        <f t="shared" si="154"/>
        <v>4</v>
      </c>
      <c r="AC399" s="162">
        <f t="shared" si="154"/>
        <v>4</v>
      </c>
      <c r="AD399" s="164">
        <f t="shared" si="154"/>
        <v>4</v>
      </c>
    </row>
    <row r="400" spans="1:30" hidden="1" outlineLevel="1" x14ac:dyDescent="0.3">
      <c r="G400" s="166">
        <f>G$7</f>
        <v>46053</v>
      </c>
      <c r="H400" s="167">
        <f t="shared" ref="H400:AD400" si="155">H$7</f>
        <v>46081</v>
      </c>
      <c r="I400" s="168">
        <f t="shared" si="155"/>
        <v>46112</v>
      </c>
      <c r="J400" s="167">
        <f t="shared" si="155"/>
        <v>46142</v>
      </c>
      <c r="K400" s="167">
        <f t="shared" si="155"/>
        <v>46173</v>
      </c>
      <c r="L400" s="168">
        <f t="shared" si="155"/>
        <v>46203</v>
      </c>
      <c r="M400" s="167">
        <f t="shared" si="155"/>
        <v>46234</v>
      </c>
      <c r="N400" s="167">
        <f t="shared" si="155"/>
        <v>46265</v>
      </c>
      <c r="O400" s="168">
        <f t="shared" si="155"/>
        <v>46295</v>
      </c>
      <c r="P400" s="167">
        <f t="shared" si="155"/>
        <v>46326</v>
      </c>
      <c r="Q400" s="167">
        <f t="shared" si="155"/>
        <v>46356</v>
      </c>
      <c r="R400" s="169">
        <f t="shared" si="155"/>
        <v>46387</v>
      </c>
      <c r="S400" s="167">
        <f t="shared" si="155"/>
        <v>46418</v>
      </c>
      <c r="T400" s="167">
        <f t="shared" si="155"/>
        <v>46446</v>
      </c>
      <c r="U400" s="168">
        <f t="shared" si="155"/>
        <v>46477</v>
      </c>
      <c r="V400" s="167">
        <f t="shared" si="155"/>
        <v>46507</v>
      </c>
      <c r="W400" s="167">
        <f t="shared" si="155"/>
        <v>46538</v>
      </c>
      <c r="X400" s="168">
        <f t="shared" si="155"/>
        <v>46568</v>
      </c>
      <c r="Y400" s="167">
        <f t="shared" si="155"/>
        <v>46599</v>
      </c>
      <c r="Z400" s="167">
        <f t="shared" si="155"/>
        <v>46630</v>
      </c>
      <c r="AA400" s="168">
        <f t="shared" si="155"/>
        <v>46660</v>
      </c>
      <c r="AB400" s="167">
        <f t="shared" si="155"/>
        <v>46691</v>
      </c>
      <c r="AC400" s="167">
        <f t="shared" si="155"/>
        <v>46721</v>
      </c>
      <c r="AD400" s="169">
        <f t="shared" si="155"/>
        <v>46752</v>
      </c>
    </row>
    <row r="401" spans="2:30" hidden="1" outlineLevel="1" x14ac:dyDescent="0.3">
      <c r="G401" s="278"/>
      <c r="H401" s="278"/>
      <c r="I401" s="278"/>
      <c r="J401" s="278"/>
      <c r="K401" s="278"/>
      <c r="L401" s="278"/>
      <c r="M401" s="278"/>
      <c r="N401" s="278"/>
      <c r="O401" s="278"/>
      <c r="P401" s="278"/>
      <c r="Q401" s="278"/>
      <c r="R401" s="278"/>
      <c r="S401" s="278"/>
      <c r="T401" s="278"/>
      <c r="U401" s="278"/>
      <c r="V401" s="278"/>
      <c r="W401" s="278"/>
      <c r="X401" s="278"/>
      <c r="Y401" s="278"/>
      <c r="Z401" s="278"/>
      <c r="AA401" s="278"/>
      <c r="AB401" s="278"/>
      <c r="AC401" s="278"/>
      <c r="AD401" s="278"/>
    </row>
    <row r="402" spans="2:30" hidden="1" outlineLevel="1" x14ac:dyDescent="0.3"/>
    <row r="403" spans="2:30" hidden="1" outlineLevel="1" x14ac:dyDescent="0.3">
      <c r="B403" s="172" t="s">
        <v>233</v>
      </c>
    </row>
    <row r="404" spans="2:30" hidden="1" outlineLevel="1" x14ac:dyDescent="0.3">
      <c r="B404" s="165" t="s">
        <v>159</v>
      </c>
      <c r="G404" s="196">
        <f t="shared" ref="G404:AD404" si="156">G155</f>
        <v>913.22280000000001</v>
      </c>
      <c r="H404" s="196">
        <f t="shared" si="156"/>
        <v>933.64625105135997</v>
      </c>
      <c r="I404" s="196">
        <f t="shared" si="156"/>
        <v>953.82026075561885</v>
      </c>
      <c r="J404" s="196">
        <f t="shared" si="156"/>
        <v>973.79365938813044</v>
      </c>
      <c r="K404" s="196">
        <f t="shared" si="156"/>
        <v>993.61427473508866</v>
      </c>
      <c r="L404" s="196">
        <f t="shared" si="156"/>
        <v>1013.3290050308915</v>
      </c>
      <c r="M404" s="196">
        <f t="shared" si="156"/>
        <v>1032.9838901010589</v>
      </c>
      <c r="N404" s="196">
        <f t="shared" si="156"/>
        <v>1052.6241808129246</v>
      </c>
      <c r="O404" s="196">
        <f t="shared" si="156"/>
        <v>1072.294406933474</v>
      </c>
      <c r="P404" s="196">
        <f t="shared" si="156"/>
        <v>1092.0384434909899</v>
      </c>
      <c r="Q404" s="196">
        <f t="shared" si="156"/>
        <v>1111.8995757346056</v>
      </c>
      <c r="R404" s="196">
        <f t="shared" si="156"/>
        <v>1131.920562783426</v>
      </c>
      <c r="S404" s="196">
        <f t="shared" si="156"/>
        <v>1157.5983540197676</v>
      </c>
      <c r="T404" s="196">
        <f t="shared" si="156"/>
        <v>1183.4761071675407</v>
      </c>
      <c r="U404" s="196">
        <f t="shared" si="156"/>
        <v>1209.5912542337499</v>
      </c>
      <c r="V404" s="196">
        <f t="shared" si="156"/>
        <v>1235.980861061965</v>
      </c>
      <c r="W404" s="196">
        <f t="shared" si="156"/>
        <v>1262.681675088038</v>
      </c>
      <c r="X404" s="196">
        <f t="shared" si="156"/>
        <v>1289.7301721268409</v>
      </c>
      <c r="Y404" s="196">
        <f t="shared" si="156"/>
        <v>1317.1626022537782</v>
      </c>
      <c r="Z404" s="196">
        <f t="shared" si="156"/>
        <v>1345.0150348430493</v>
      </c>
      <c r="AA404" s="196">
        <f t="shared" si="156"/>
        <v>1373.3234028229492</v>
      </c>
      <c r="AB404" s="196">
        <f t="shared" si="156"/>
        <v>1402.1235462068914</v>
      </c>
      <c r="AC404" s="196">
        <f t="shared" si="156"/>
        <v>1431.4512549573267</v>
      </c>
      <c r="AD404" s="196">
        <f t="shared" si="156"/>
        <v>1461.3423112382877</v>
      </c>
    </row>
    <row r="405" spans="2:30" hidden="1" outlineLevel="1" x14ac:dyDescent="0.3">
      <c r="B405" s="165" t="s">
        <v>249</v>
      </c>
      <c r="G405" s="226">
        <f>Inputs!$O$112</f>
        <v>0.6</v>
      </c>
      <c r="H405" s="226">
        <f>Inputs!$O$112</f>
        <v>0.6</v>
      </c>
      <c r="I405" s="226">
        <f>Inputs!$O$112</f>
        <v>0.6</v>
      </c>
      <c r="J405" s="226">
        <f>Inputs!$O$112</f>
        <v>0.6</v>
      </c>
      <c r="K405" s="226">
        <f>Inputs!$O$112</f>
        <v>0.6</v>
      </c>
      <c r="L405" s="226">
        <f>Inputs!$O$112</f>
        <v>0.6</v>
      </c>
      <c r="M405" s="226">
        <f>Inputs!$O$112</f>
        <v>0.6</v>
      </c>
      <c r="N405" s="226">
        <f>Inputs!$O$112</f>
        <v>0.6</v>
      </c>
      <c r="O405" s="226">
        <f>Inputs!$O$112</f>
        <v>0.6</v>
      </c>
      <c r="P405" s="226">
        <f>Inputs!$O$112</f>
        <v>0.6</v>
      </c>
      <c r="Q405" s="226">
        <f>Inputs!$O$112</f>
        <v>0.6</v>
      </c>
      <c r="R405" s="226">
        <f>Inputs!$O$112</f>
        <v>0.6</v>
      </c>
      <c r="S405" s="226">
        <f>Inputs!$O$112</f>
        <v>0.6</v>
      </c>
      <c r="T405" s="226">
        <f>Inputs!$O$112</f>
        <v>0.6</v>
      </c>
      <c r="U405" s="226">
        <f>Inputs!$O$112</f>
        <v>0.6</v>
      </c>
      <c r="V405" s="226">
        <f>Inputs!$O$112</f>
        <v>0.6</v>
      </c>
      <c r="W405" s="226">
        <f>Inputs!$O$112</f>
        <v>0.6</v>
      </c>
      <c r="X405" s="226">
        <f>Inputs!$O$112</f>
        <v>0.6</v>
      </c>
      <c r="Y405" s="226">
        <f>Inputs!$O$112</f>
        <v>0.6</v>
      </c>
      <c r="Z405" s="226">
        <f>Inputs!$O$112</f>
        <v>0.6</v>
      </c>
      <c r="AA405" s="226">
        <f>Inputs!$O$112</f>
        <v>0.6</v>
      </c>
      <c r="AB405" s="226">
        <f>Inputs!$O$112</f>
        <v>0.6</v>
      </c>
      <c r="AC405" s="226">
        <f>Inputs!$O$112</f>
        <v>0.6</v>
      </c>
      <c r="AD405" s="226">
        <f>Inputs!$O$112</f>
        <v>0.6</v>
      </c>
    </row>
    <row r="406" spans="2:30" hidden="1" outlineLevel="1" x14ac:dyDescent="0.3">
      <c r="B406" s="165" t="s">
        <v>258</v>
      </c>
      <c r="G406" s="196">
        <f>Inputs!$O$113</f>
        <v>12</v>
      </c>
      <c r="H406" s="196">
        <f>Inputs!$O$113</f>
        <v>12</v>
      </c>
      <c r="I406" s="196">
        <f>Inputs!$O$113</f>
        <v>12</v>
      </c>
      <c r="J406" s="196">
        <f>Inputs!$O$113</f>
        <v>12</v>
      </c>
      <c r="K406" s="196">
        <f>Inputs!$O$113</f>
        <v>12</v>
      </c>
      <c r="L406" s="196">
        <f>Inputs!$O$113</f>
        <v>12</v>
      </c>
      <c r="M406" s="196">
        <f>Inputs!$O$113</f>
        <v>12</v>
      </c>
      <c r="N406" s="196">
        <f>Inputs!$O$113</f>
        <v>12</v>
      </c>
      <c r="O406" s="196">
        <f>Inputs!$O$113</f>
        <v>12</v>
      </c>
      <c r="P406" s="196">
        <f>Inputs!$O$113</f>
        <v>12</v>
      </c>
      <c r="Q406" s="196">
        <f>Inputs!$O$113</f>
        <v>12</v>
      </c>
      <c r="R406" s="196">
        <f>Inputs!$O$113</f>
        <v>12</v>
      </c>
      <c r="S406" s="196">
        <f>Inputs!$O$113</f>
        <v>12</v>
      </c>
      <c r="T406" s="196">
        <f>Inputs!$O$113</f>
        <v>12</v>
      </c>
      <c r="U406" s="196">
        <f>Inputs!$O$113</f>
        <v>12</v>
      </c>
      <c r="V406" s="196">
        <f>Inputs!$O$113</f>
        <v>12</v>
      </c>
      <c r="W406" s="196">
        <f>Inputs!$O$113</f>
        <v>12</v>
      </c>
      <c r="X406" s="196">
        <f>Inputs!$O$113</f>
        <v>12</v>
      </c>
      <c r="Y406" s="196">
        <f>Inputs!$O$113</f>
        <v>12</v>
      </c>
      <c r="Z406" s="196">
        <f>Inputs!$O$113</f>
        <v>12</v>
      </c>
      <c r="AA406" s="196">
        <f>Inputs!$O$113</f>
        <v>12</v>
      </c>
      <c r="AB406" s="196">
        <f>Inputs!$O$113</f>
        <v>12</v>
      </c>
      <c r="AC406" s="196">
        <f>Inputs!$O$113</f>
        <v>12</v>
      </c>
      <c r="AD406" s="196">
        <f>Inputs!$O$113</f>
        <v>12</v>
      </c>
    </row>
    <row r="407" spans="2:30" hidden="1" outlineLevel="1" x14ac:dyDescent="0.3">
      <c r="B407" s="165" t="s">
        <v>259</v>
      </c>
      <c r="G407" s="286">
        <f>Inputs!$O$114</f>
        <v>5.5</v>
      </c>
      <c r="H407" s="286">
        <f>Inputs!$O$114</f>
        <v>5.5</v>
      </c>
      <c r="I407" s="286">
        <f>Inputs!$O$114</f>
        <v>5.5</v>
      </c>
      <c r="J407" s="286">
        <f>Inputs!$O$114</f>
        <v>5.5</v>
      </c>
      <c r="K407" s="286">
        <f>Inputs!$O$114</f>
        <v>5.5</v>
      </c>
      <c r="L407" s="286">
        <f>Inputs!$O$114</f>
        <v>5.5</v>
      </c>
      <c r="M407" s="286">
        <f>Inputs!$O$114</f>
        <v>5.5</v>
      </c>
      <c r="N407" s="286">
        <f>Inputs!$O$114</f>
        <v>5.5</v>
      </c>
      <c r="O407" s="286">
        <f>Inputs!$O$114</f>
        <v>5.5</v>
      </c>
      <c r="P407" s="286">
        <f>Inputs!$O$114</f>
        <v>5.5</v>
      </c>
      <c r="Q407" s="286">
        <f>Inputs!$O$114</f>
        <v>5.5</v>
      </c>
      <c r="R407" s="286">
        <f>Inputs!$O$114</f>
        <v>5.5</v>
      </c>
      <c r="S407" s="286">
        <f>Inputs!$O$114</f>
        <v>5.5</v>
      </c>
      <c r="T407" s="286">
        <f>Inputs!$O$114</f>
        <v>5.5</v>
      </c>
      <c r="U407" s="286">
        <f>Inputs!$O$114</f>
        <v>5.5</v>
      </c>
      <c r="V407" s="286">
        <f>Inputs!$O$114</f>
        <v>5.5</v>
      </c>
      <c r="W407" s="286">
        <f>Inputs!$O$114</f>
        <v>5.5</v>
      </c>
      <c r="X407" s="286">
        <f>Inputs!$O$114</f>
        <v>5.5</v>
      </c>
      <c r="Y407" s="286">
        <f>Inputs!$O$114</f>
        <v>5.5</v>
      </c>
      <c r="Z407" s="286">
        <f>Inputs!$O$114</f>
        <v>5.5</v>
      </c>
      <c r="AA407" s="286">
        <f>Inputs!$O$114</f>
        <v>5.5</v>
      </c>
      <c r="AB407" s="286">
        <f>Inputs!$O$114</f>
        <v>5.5</v>
      </c>
      <c r="AC407" s="286">
        <f>Inputs!$O$114</f>
        <v>5.5</v>
      </c>
      <c r="AD407" s="286">
        <f>Inputs!$O$114</f>
        <v>5.5</v>
      </c>
    </row>
    <row r="408" spans="2:30" hidden="1" outlineLevel="1" x14ac:dyDescent="0.3">
      <c r="B408" s="165"/>
      <c r="G408" s="226"/>
      <c r="H408" s="226"/>
      <c r="I408" s="226"/>
      <c r="J408" s="226"/>
      <c r="K408" s="226"/>
      <c r="L408" s="226"/>
      <c r="M408" s="226"/>
      <c r="N408" s="226"/>
      <c r="O408" s="226"/>
      <c r="P408" s="226"/>
      <c r="Q408" s="226"/>
      <c r="R408" s="226"/>
      <c r="S408" s="226"/>
      <c r="T408" s="226"/>
      <c r="U408" s="226"/>
      <c r="V408" s="226"/>
      <c r="W408" s="226"/>
      <c r="X408" s="226"/>
      <c r="Y408" s="226"/>
      <c r="Z408" s="226"/>
      <c r="AA408" s="226"/>
      <c r="AB408" s="226"/>
      <c r="AC408" s="226"/>
      <c r="AD408" s="226"/>
    </row>
    <row r="409" spans="2:30" hidden="1" outlineLevel="1" x14ac:dyDescent="0.3">
      <c r="B409" s="172" t="s">
        <v>251</v>
      </c>
      <c r="E409" s="196"/>
      <c r="F409" s="196"/>
    </row>
    <row r="410" spans="2:30" hidden="1" outlineLevel="1" x14ac:dyDescent="0.3">
      <c r="B410" s="165" t="s">
        <v>222</v>
      </c>
      <c r="E410" s="196"/>
      <c r="F410" s="196"/>
      <c r="G410" s="196">
        <f>IF(Inputs!E194&gt;0,Inputs!E194,'Operational Model'!F412)</f>
        <v>2947</v>
      </c>
      <c r="H410" s="196">
        <f>IF(Inputs!F194&gt;0,Inputs!F194,'Operational Model'!G412)</f>
        <v>3013.6352400000001</v>
      </c>
      <c r="I410" s="196">
        <f>IF(Inputs!G194&gt;0,Inputs!G194,'Operational Model'!H412)</f>
        <v>3081.0326284694875</v>
      </c>
      <c r="J410" s="196">
        <f>IF(Inputs!H194&gt;0,Inputs!H194,'Operational Model'!I412)</f>
        <v>3147.6068604935417</v>
      </c>
      <c r="K410" s="196">
        <f>IF(Inputs!I194&gt;0,Inputs!I194,'Operational Model'!J412)</f>
        <v>3213.5190759808306</v>
      </c>
      <c r="L410" s="196">
        <f>IF(Inputs!J194&gt;0,Inputs!J194,'Operational Model'!K412)</f>
        <v>3278.927106625792</v>
      </c>
      <c r="M410" s="196">
        <f>IF(Inputs!K194&gt;0,Inputs!K194,'Operational Model'!L412)</f>
        <v>3343.9857166019419</v>
      </c>
      <c r="N410" s="196">
        <f>IF(Inputs!L194&gt;0,Inputs!L194,'Operational Model'!M412)</f>
        <v>3408.8468373334945</v>
      </c>
      <c r="O410" s="196">
        <f>IF(Inputs!M194&gt;0,Inputs!M194,'Operational Model'!N412)</f>
        <v>3473.6597966826512</v>
      </c>
      <c r="P410" s="196">
        <f>IF(Inputs!N194&gt;0,Inputs!N194,'Operational Model'!O412)</f>
        <v>3538.5715428804638</v>
      </c>
      <c r="Q410" s="196">
        <f>IF(Inputs!O194&gt;0,Inputs!O194,'Operational Model'!P412)</f>
        <v>3603.7268635202668</v>
      </c>
      <c r="R410" s="196">
        <f>IF(Inputs!P194&gt;0,Inputs!P194,'Operational Model'!Q412)</f>
        <v>3669.2685999241985</v>
      </c>
      <c r="S410" s="196">
        <f>IF(Inputs!Q194&gt;0,Inputs!Q194,'Operational Model'!R412)</f>
        <v>3735.3378571853054</v>
      </c>
      <c r="T410" s="196">
        <f>IF(Inputs!R194&gt;0,Inputs!R194,'Operational Model'!S412)</f>
        <v>3820.0745682652328</v>
      </c>
      <c r="U410" s="196">
        <f>IF(Inputs!S194&gt;0,Inputs!S194,'Operational Model'!T412)</f>
        <v>3905.4711536528844</v>
      </c>
      <c r="V410" s="196">
        <f>IF(Inputs!T194&gt;0,Inputs!T194,'Operational Model'!U412)</f>
        <v>3991.6511389713746</v>
      </c>
      <c r="W410" s="196">
        <f>IF(Inputs!U194&gt;0,Inputs!U194,'Operational Model'!V412)</f>
        <v>4078.7368415044843</v>
      </c>
      <c r="X410" s="196">
        <f>IF(Inputs!V194&gt;0,Inputs!V194,'Operational Model'!W412)</f>
        <v>4166.8495277905258</v>
      </c>
      <c r="Y410" s="196">
        <f>IF(Inputs!W194&gt;0,Inputs!W194,'Operational Model'!X412)</f>
        <v>4256.1095680185754</v>
      </c>
      <c r="Z410" s="196">
        <f>IF(Inputs!X194&gt;0,Inputs!X194,'Operational Model'!Y412)</f>
        <v>4346.6365874374678</v>
      </c>
      <c r="AA410" s="196">
        <f>IF(Inputs!Y194&gt;0,Inputs!Y194,'Operational Model'!Z412)</f>
        <v>4438.5496149820619</v>
      </c>
      <c r="AB410" s="196">
        <f>IF(Inputs!Z194&gt;0,Inputs!Z194,'Operational Model'!AA412)</f>
        <v>4531.9672293157328</v>
      </c>
      <c r="AC410" s="196">
        <f>IF(Inputs!AA194&gt;0,Inputs!AA194,'Operational Model'!AB412)</f>
        <v>4627.0077024827415</v>
      </c>
      <c r="AD410" s="196">
        <f>IF(Inputs!AB194&gt;0,Inputs!AB194,'Operational Model'!AC412)</f>
        <v>4723.7891413591778</v>
      </c>
    </row>
    <row r="411" spans="2:30" hidden="1" outlineLevel="1" x14ac:dyDescent="0.3">
      <c r="B411" s="165" t="s">
        <v>260</v>
      </c>
      <c r="E411" s="196"/>
      <c r="F411" s="196"/>
      <c r="G411" s="196">
        <f>G404*G405</f>
        <v>547.93367999999998</v>
      </c>
      <c r="H411" s="196">
        <f t="shared" ref="H411:AD411" si="157">H404*H405</f>
        <v>560.18775063081591</v>
      </c>
      <c r="I411" s="196">
        <f t="shared" si="157"/>
        <v>572.29215645337126</v>
      </c>
      <c r="J411" s="196">
        <f t="shared" si="157"/>
        <v>584.27619563287828</v>
      </c>
      <c r="K411" s="196">
        <f t="shared" si="157"/>
        <v>596.16856484105313</v>
      </c>
      <c r="L411" s="196">
        <f t="shared" si="157"/>
        <v>607.9974030185349</v>
      </c>
      <c r="M411" s="196">
        <f t="shared" si="157"/>
        <v>619.79033406063536</v>
      </c>
      <c r="N411" s="196">
        <f t="shared" si="157"/>
        <v>631.57450848775477</v>
      </c>
      <c r="O411" s="196">
        <f t="shared" si="157"/>
        <v>643.37664416008431</v>
      </c>
      <c r="P411" s="196">
        <f t="shared" si="157"/>
        <v>655.22306609459395</v>
      </c>
      <c r="Q411" s="196">
        <f t="shared" si="157"/>
        <v>667.13974544076336</v>
      </c>
      <c r="R411" s="196">
        <f t="shared" si="157"/>
        <v>679.15233767005554</v>
      </c>
      <c r="S411" s="196">
        <f t="shared" si="157"/>
        <v>694.55901241186052</v>
      </c>
      <c r="T411" s="196">
        <f t="shared" si="157"/>
        <v>710.0856643005244</v>
      </c>
      <c r="U411" s="196">
        <f t="shared" si="157"/>
        <v>725.75475254024991</v>
      </c>
      <c r="V411" s="196">
        <f t="shared" si="157"/>
        <v>741.58851663717894</v>
      </c>
      <c r="W411" s="196">
        <f t="shared" si="157"/>
        <v>757.60900505282279</v>
      </c>
      <c r="X411" s="196">
        <f t="shared" si="157"/>
        <v>773.83810327610456</v>
      </c>
      <c r="Y411" s="196">
        <f t="shared" si="157"/>
        <v>790.29756135226694</v>
      </c>
      <c r="Z411" s="196">
        <f t="shared" si="157"/>
        <v>807.00902090582952</v>
      </c>
      <c r="AA411" s="196">
        <f t="shared" si="157"/>
        <v>823.99404169376953</v>
      </c>
      <c r="AB411" s="196">
        <f t="shared" si="157"/>
        <v>841.27412772413481</v>
      </c>
      <c r="AC411" s="196">
        <f t="shared" si="157"/>
        <v>858.87075297439594</v>
      </c>
      <c r="AD411" s="196">
        <f t="shared" si="157"/>
        <v>876.80538674297259</v>
      </c>
    </row>
    <row r="412" spans="2:30" hidden="1" outlineLevel="1" x14ac:dyDescent="0.3">
      <c r="B412" s="165" t="s">
        <v>254</v>
      </c>
      <c r="E412" s="196"/>
      <c r="F412" s="196"/>
      <c r="G412" s="196">
        <f>G404*G405*G407</f>
        <v>3013.6352400000001</v>
      </c>
      <c r="H412" s="196">
        <f t="shared" ref="H412:AD412" si="158">H404*H405*H407</f>
        <v>3081.0326284694875</v>
      </c>
      <c r="I412" s="196">
        <f t="shared" si="158"/>
        <v>3147.6068604935417</v>
      </c>
      <c r="J412" s="196">
        <f t="shared" si="158"/>
        <v>3213.5190759808306</v>
      </c>
      <c r="K412" s="196">
        <f t="shared" si="158"/>
        <v>3278.927106625792</v>
      </c>
      <c r="L412" s="196">
        <f t="shared" si="158"/>
        <v>3343.9857166019419</v>
      </c>
      <c r="M412" s="196">
        <f t="shared" si="158"/>
        <v>3408.8468373334945</v>
      </c>
      <c r="N412" s="196">
        <f t="shared" si="158"/>
        <v>3473.6597966826512</v>
      </c>
      <c r="O412" s="196">
        <f t="shared" si="158"/>
        <v>3538.5715428804638</v>
      </c>
      <c r="P412" s="196">
        <f t="shared" si="158"/>
        <v>3603.7268635202668</v>
      </c>
      <c r="Q412" s="196">
        <f t="shared" si="158"/>
        <v>3669.2685999241985</v>
      </c>
      <c r="R412" s="196">
        <f t="shared" si="158"/>
        <v>3735.3378571853054</v>
      </c>
      <c r="S412" s="196">
        <f t="shared" si="158"/>
        <v>3820.0745682652328</v>
      </c>
      <c r="T412" s="196">
        <f t="shared" si="158"/>
        <v>3905.4711536528844</v>
      </c>
      <c r="U412" s="196">
        <f t="shared" si="158"/>
        <v>3991.6511389713746</v>
      </c>
      <c r="V412" s="196">
        <f t="shared" si="158"/>
        <v>4078.7368415044843</v>
      </c>
      <c r="W412" s="196">
        <f t="shared" si="158"/>
        <v>4166.8495277905258</v>
      </c>
      <c r="X412" s="196">
        <f t="shared" si="158"/>
        <v>4256.1095680185754</v>
      </c>
      <c r="Y412" s="196">
        <f t="shared" si="158"/>
        <v>4346.6365874374678</v>
      </c>
      <c r="Z412" s="196">
        <f t="shared" si="158"/>
        <v>4438.5496149820619</v>
      </c>
      <c r="AA412" s="196">
        <f t="shared" si="158"/>
        <v>4531.9672293157328</v>
      </c>
      <c r="AB412" s="196">
        <f t="shared" si="158"/>
        <v>4627.0077024827415</v>
      </c>
      <c r="AC412" s="196">
        <f t="shared" si="158"/>
        <v>4723.7891413591778</v>
      </c>
      <c r="AD412" s="196">
        <f t="shared" si="158"/>
        <v>4822.4296270863488</v>
      </c>
    </row>
    <row r="413" spans="2:30" hidden="1" outlineLevel="1" x14ac:dyDescent="0.3">
      <c r="B413" s="165"/>
      <c r="E413" s="196"/>
      <c r="F413" s="196"/>
    </row>
    <row r="414" spans="2:30" s="165" customFormat="1" hidden="1" outlineLevel="1" x14ac:dyDescent="0.3">
      <c r="B414" s="165" t="s">
        <v>255</v>
      </c>
      <c r="E414" s="196"/>
      <c r="F414" s="196"/>
      <c r="G414" s="323">
        <f>G412-G410</f>
        <v>66.635240000000067</v>
      </c>
      <c r="H414" s="324">
        <f t="shared" ref="H414:AD414" si="159">H412-H410</f>
        <v>67.397388469487396</v>
      </c>
      <c r="I414" s="325">
        <f t="shared" si="159"/>
        <v>66.574232024054254</v>
      </c>
      <c r="J414" s="324">
        <f t="shared" si="159"/>
        <v>65.912215487288904</v>
      </c>
      <c r="K414" s="324">
        <f t="shared" si="159"/>
        <v>65.4080306449614</v>
      </c>
      <c r="L414" s="325">
        <f t="shared" si="159"/>
        <v>65.05860997614991</v>
      </c>
      <c r="M414" s="324">
        <f t="shared" si="159"/>
        <v>64.861120731552546</v>
      </c>
      <c r="N414" s="324">
        <f t="shared" si="159"/>
        <v>64.812959349156699</v>
      </c>
      <c r="O414" s="325">
        <f t="shared" si="159"/>
        <v>64.91174619781259</v>
      </c>
      <c r="P414" s="324">
        <f t="shared" si="159"/>
        <v>65.155320639802994</v>
      </c>
      <c r="Q414" s="324">
        <f t="shared" si="159"/>
        <v>65.541736403931736</v>
      </c>
      <c r="R414" s="325">
        <f t="shared" si="159"/>
        <v>66.069257261106941</v>
      </c>
      <c r="S414" s="324">
        <f t="shared" si="159"/>
        <v>84.736711079927318</v>
      </c>
      <c r="T414" s="324">
        <f t="shared" si="159"/>
        <v>85.396585387651612</v>
      </c>
      <c r="U414" s="325">
        <f t="shared" si="159"/>
        <v>86.179985318490253</v>
      </c>
      <c r="V414" s="324">
        <f t="shared" si="159"/>
        <v>87.085702533109725</v>
      </c>
      <c r="W414" s="324">
        <f t="shared" si="159"/>
        <v>88.11268628604148</v>
      </c>
      <c r="X414" s="325">
        <f t="shared" si="159"/>
        <v>89.260040228049547</v>
      </c>
      <c r="Y414" s="324">
        <f t="shared" si="159"/>
        <v>90.527019418892451</v>
      </c>
      <c r="Z414" s="324">
        <f t="shared" si="159"/>
        <v>91.913027544594115</v>
      </c>
      <c r="AA414" s="325">
        <f t="shared" si="159"/>
        <v>93.417614333670826</v>
      </c>
      <c r="AB414" s="324">
        <f t="shared" si="159"/>
        <v>95.040473167008713</v>
      </c>
      <c r="AC414" s="324">
        <f t="shared" si="159"/>
        <v>96.781438876436368</v>
      </c>
      <c r="AD414" s="325">
        <f t="shared" si="159"/>
        <v>98.640485727170926</v>
      </c>
    </row>
    <row r="415" spans="2:30" hidden="1" outlineLevel="1" x14ac:dyDescent="0.3">
      <c r="E415" s="196"/>
      <c r="F415" s="196"/>
    </row>
    <row r="416" spans="2:30" hidden="1" outlineLevel="1" x14ac:dyDescent="0.3">
      <c r="B416" s="172" t="s">
        <v>221</v>
      </c>
      <c r="E416" s="196"/>
      <c r="F416" s="196"/>
    </row>
    <row r="417" spans="1:30" hidden="1" outlineLevel="1" x14ac:dyDescent="0.3">
      <c r="B417" s="174" t="s">
        <v>256</v>
      </c>
      <c r="E417" s="196"/>
      <c r="F417" s="196"/>
      <c r="G417" s="196">
        <f>G404</f>
        <v>913.22280000000001</v>
      </c>
      <c r="H417" s="196">
        <f t="shared" ref="H417:AD417" si="160">H404</f>
        <v>933.64625105135997</v>
      </c>
      <c r="I417" s="196">
        <f t="shared" si="160"/>
        <v>953.82026075561885</v>
      </c>
      <c r="J417" s="196">
        <f t="shared" si="160"/>
        <v>973.79365938813044</v>
      </c>
      <c r="K417" s="196">
        <f t="shared" si="160"/>
        <v>993.61427473508866</v>
      </c>
      <c r="L417" s="196">
        <f t="shared" si="160"/>
        <v>1013.3290050308915</v>
      </c>
      <c r="M417" s="196">
        <f t="shared" si="160"/>
        <v>1032.9838901010589</v>
      </c>
      <c r="N417" s="196">
        <f t="shared" si="160"/>
        <v>1052.6241808129246</v>
      </c>
      <c r="O417" s="196">
        <f t="shared" si="160"/>
        <v>1072.294406933474</v>
      </c>
      <c r="P417" s="196">
        <f t="shared" si="160"/>
        <v>1092.0384434909899</v>
      </c>
      <c r="Q417" s="196">
        <f t="shared" si="160"/>
        <v>1111.8995757346056</v>
      </c>
      <c r="R417" s="196">
        <f t="shared" si="160"/>
        <v>1131.920562783426</v>
      </c>
      <c r="S417" s="196">
        <f t="shared" si="160"/>
        <v>1157.5983540197676</v>
      </c>
      <c r="T417" s="196">
        <f t="shared" si="160"/>
        <v>1183.4761071675407</v>
      </c>
      <c r="U417" s="196">
        <f t="shared" si="160"/>
        <v>1209.5912542337499</v>
      </c>
      <c r="V417" s="196">
        <f t="shared" si="160"/>
        <v>1235.980861061965</v>
      </c>
      <c r="W417" s="196">
        <f t="shared" si="160"/>
        <v>1262.681675088038</v>
      </c>
      <c r="X417" s="196">
        <f t="shared" si="160"/>
        <v>1289.7301721268409</v>
      </c>
      <c r="Y417" s="196">
        <f t="shared" si="160"/>
        <v>1317.1626022537782</v>
      </c>
      <c r="Z417" s="196">
        <f t="shared" si="160"/>
        <v>1345.0150348430493</v>
      </c>
      <c r="AA417" s="196">
        <f t="shared" si="160"/>
        <v>1373.3234028229492</v>
      </c>
      <c r="AB417" s="196">
        <f t="shared" si="160"/>
        <v>1402.1235462068914</v>
      </c>
      <c r="AC417" s="196">
        <f t="shared" si="160"/>
        <v>1431.4512549573267</v>
      </c>
      <c r="AD417" s="196">
        <f t="shared" si="160"/>
        <v>1461.3423112382877</v>
      </c>
    </row>
    <row r="418" spans="1:30" hidden="1" outlineLevel="1" x14ac:dyDescent="0.3">
      <c r="B418" s="174" t="s">
        <v>255</v>
      </c>
      <c r="E418" s="196"/>
      <c r="F418" s="196"/>
      <c r="G418" s="196">
        <f>G414</f>
        <v>66.635240000000067</v>
      </c>
      <c r="H418" s="196">
        <f t="shared" ref="H418:AD418" si="161">H414</f>
        <v>67.397388469487396</v>
      </c>
      <c r="I418" s="196">
        <f t="shared" si="161"/>
        <v>66.574232024054254</v>
      </c>
      <c r="J418" s="196">
        <f t="shared" si="161"/>
        <v>65.912215487288904</v>
      </c>
      <c r="K418" s="196">
        <f t="shared" si="161"/>
        <v>65.4080306449614</v>
      </c>
      <c r="L418" s="196">
        <f t="shared" si="161"/>
        <v>65.05860997614991</v>
      </c>
      <c r="M418" s="196">
        <f t="shared" si="161"/>
        <v>64.861120731552546</v>
      </c>
      <c r="N418" s="196">
        <f t="shared" si="161"/>
        <v>64.812959349156699</v>
      </c>
      <c r="O418" s="196">
        <f t="shared" si="161"/>
        <v>64.91174619781259</v>
      </c>
      <c r="P418" s="196">
        <f t="shared" si="161"/>
        <v>65.155320639802994</v>
      </c>
      <c r="Q418" s="196">
        <f t="shared" si="161"/>
        <v>65.541736403931736</v>
      </c>
      <c r="R418" s="196">
        <f t="shared" si="161"/>
        <v>66.069257261106941</v>
      </c>
      <c r="S418" s="196">
        <f t="shared" si="161"/>
        <v>84.736711079927318</v>
      </c>
      <c r="T418" s="196">
        <f t="shared" si="161"/>
        <v>85.396585387651612</v>
      </c>
      <c r="U418" s="196">
        <f t="shared" si="161"/>
        <v>86.179985318490253</v>
      </c>
      <c r="V418" s="196">
        <f t="shared" si="161"/>
        <v>87.085702533109725</v>
      </c>
      <c r="W418" s="196">
        <f t="shared" si="161"/>
        <v>88.11268628604148</v>
      </c>
      <c r="X418" s="196">
        <f t="shared" si="161"/>
        <v>89.260040228049547</v>
      </c>
      <c r="Y418" s="196">
        <f t="shared" si="161"/>
        <v>90.527019418892451</v>
      </c>
      <c r="Z418" s="196">
        <f t="shared" si="161"/>
        <v>91.913027544594115</v>
      </c>
      <c r="AA418" s="196">
        <f t="shared" si="161"/>
        <v>93.417614333670826</v>
      </c>
      <c r="AB418" s="196">
        <f t="shared" si="161"/>
        <v>95.040473167008713</v>
      </c>
      <c r="AC418" s="196">
        <f t="shared" si="161"/>
        <v>96.781438876436368</v>
      </c>
      <c r="AD418" s="196">
        <f t="shared" si="161"/>
        <v>98.640485727170926</v>
      </c>
    </row>
    <row r="419" spans="1:30" hidden="1" outlineLevel="1" x14ac:dyDescent="0.3">
      <c r="B419" s="174" t="s">
        <v>250</v>
      </c>
      <c r="E419" s="196"/>
      <c r="F419" s="196"/>
      <c r="G419" s="292">
        <f>SUM(G417:G418)</f>
        <v>979.85804000000007</v>
      </c>
      <c r="H419" s="292">
        <f t="shared" ref="H419:AD419" si="162">SUM(H417:H418)</f>
        <v>1001.0436395208474</v>
      </c>
      <c r="I419" s="292">
        <f t="shared" si="162"/>
        <v>1020.3944927796731</v>
      </c>
      <c r="J419" s="292">
        <f t="shared" si="162"/>
        <v>1039.7058748754193</v>
      </c>
      <c r="K419" s="292">
        <f t="shared" si="162"/>
        <v>1059.0223053800501</v>
      </c>
      <c r="L419" s="292">
        <f t="shared" si="162"/>
        <v>1078.3876150070414</v>
      </c>
      <c r="M419" s="292">
        <f t="shared" si="162"/>
        <v>1097.8450108326115</v>
      </c>
      <c r="N419" s="292">
        <f t="shared" si="162"/>
        <v>1117.4371401620813</v>
      </c>
      <c r="O419" s="292">
        <f t="shared" si="162"/>
        <v>1137.2061531312866</v>
      </c>
      <c r="P419" s="292">
        <f t="shared" si="162"/>
        <v>1157.1937641307929</v>
      </c>
      <c r="Q419" s="292">
        <f t="shared" si="162"/>
        <v>1177.4413121385373</v>
      </c>
      <c r="R419" s="292">
        <f t="shared" si="162"/>
        <v>1197.989820044533</v>
      </c>
      <c r="S419" s="292">
        <f t="shared" si="162"/>
        <v>1242.3350650996949</v>
      </c>
      <c r="T419" s="292">
        <f t="shared" si="162"/>
        <v>1268.8726925551923</v>
      </c>
      <c r="U419" s="292">
        <f t="shared" si="162"/>
        <v>1295.7712395522401</v>
      </c>
      <c r="V419" s="292">
        <f t="shared" si="162"/>
        <v>1323.0665635950747</v>
      </c>
      <c r="W419" s="292">
        <f t="shared" si="162"/>
        <v>1350.7943613740795</v>
      </c>
      <c r="X419" s="292">
        <f t="shared" si="162"/>
        <v>1378.9902123548904</v>
      </c>
      <c r="Y419" s="292">
        <f t="shared" si="162"/>
        <v>1407.6896216726707</v>
      </c>
      <c r="Z419" s="292">
        <f t="shared" si="162"/>
        <v>1436.9280623876434</v>
      </c>
      <c r="AA419" s="292">
        <f t="shared" si="162"/>
        <v>1466.74101715662</v>
      </c>
      <c r="AB419" s="292">
        <f t="shared" si="162"/>
        <v>1497.1640193739001</v>
      </c>
      <c r="AC419" s="292">
        <f t="shared" si="162"/>
        <v>1528.2326938337631</v>
      </c>
      <c r="AD419" s="292">
        <f t="shared" si="162"/>
        <v>1559.9827969654586</v>
      </c>
    </row>
    <row r="420" spans="1:30" hidden="1" outlineLevel="1" x14ac:dyDescent="0.3">
      <c r="B420" s="174"/>
    </row>
    <row r="421" spans="1:30" hidden="1" outlineLevel="1" x14ac:dyDescent="0.3">
      <c r="B421" s="192" t="s">
        <v>146</v>
      </c>
    </row>
    <row r="422" spans="1:30" hidden="1" outlineLevel="1" x14ac:dyDescent="0.3">
      <c r="B422" s="174" t="s">
        <v>325</v>
      </c>
      <c r="G422" s="329">
        <f>G412-G414-G410</f>
        <v>0</v>
      </c>
      <c r="H422" s="329">
        <f t="shared" ref="H422:AD422" si="163">H412-H414-H410</f>
        <v>0</v>
      </c>
      <c r="I422" s="329">
        <f t="shared" si="163"/>
        <v>0</v>
      </c>
      <c r="J422" s="329">
        <f t="shared" si="163"/>
        <v>0</v>
      </c>
      <c r="K422" s="329">
        <f t="shared" si="163"/>
        <v>0</v>
      </c>
      <c r="L422" s="329">
        <f t="shared" si="163"/>
        <v>0</v>
      </c>
      <c r="M422" s="329">
        <f t="shared" si="163"/>
        <v>0</v>
      </c>
      <c r="N422" s="329">
        <f t="shared" si="163"/>
        <v>0</v>
      </c>
      <c r="O422" s="329">
        <f t="shared" si="163"/>
        <v>0</v>
      </c>
      <c r="P422" s="329">
        <f t="shared" si="163"/>
        <v>0</v>
      </c>
      <c r="Q422" s="329">
        <f t="shared" si="163"/>
        <v>0</v>
      </c>
      <c r="R422" s="329">
        <f t="shared" si="163"/>
        <v>0</v>
      </c>
      <c r="S422" s="329">
        <f t="shared" si="163"/>
        <v>0</v>
      </c>
      <c r="T422" s="329">
        <f t="shared" si="163"/>
        <v>0</v>
      </c>
      <c r="U422" s="329">
        <f t="shared" si="163"/>
        <v>0</v>
      </c>
      <c r="V422" s="329">
        <f t="shared" si="163"/>
        <v>0</v>
      </c>
      <c r="W422" s="329">
        <f t="shared" si="163"/>
        <v>0</v>
      </c>
      <c r="X422" s="329">
        <f t="shared" si="163"/>
        <v>0</v>
      </c>
      <c r="Y422" s="329">
        <f t="shared" si="163"/>
        <v>0</v>
      </c>
      <c r="Z422" s="329">
        <f t="shared" si="163"/>
        <v>0</v>
      </c>
      <c r="AA422" s="329">
        <f t="shared" si="163"/>
        <v>0</v>
      </c>
      <c r="AB422" s="329">
        <f t="shared" si="163"/>
        <v>0</v>
      </c>
      <c r="AC422" s="329">
        <f t="shared" si="163"/>
        <v>0</v>
      </c>
      <c r="AD422" s="329">
        <f t="shared" si="163"/>
        <v>0</v>
      </c>
    </row>
    <row r="423" spans="1:30" hidden="1" outlineLevel="1" x14ac:dyDescent="0.3">
      <c r="B423" s="174" t="s">
        <v>326</v>
      </c>
      <c r="G423" s="329">
        <f>G419-G418-G417</f>
        <v>0</v>
      </c>
      <c r="H423" s="329">
        <f t="shared" ref="H423:AD423" si="164">H419-H418-H417</f>
        <v>0</v>
      </c>
      <c r="I423" s="329">
        <f t="shared" si="164"/>
        <v>0</v>
      </c>
      <c r="J423" s="329">
        <f t="shared" si="164"/>
        <v>0</v>
      </c>
      <c r="K423" s="329">
        <f t="shared" si="164"/>
        <v>0</v>
      </c>
      <c r="L423" s="329">
        <f t="shared" si="164"/>
        <v>0</v>
      </c>
      <c r="M423" s="329">
        <f t="shared" si="164"/>
        <v>0</v>
      </c>
      <c r="N423" s="329">
        <f t="shared" si="164"/>
        <v>0</v>
      </c>
      <c r="O423" s="329">
        <f t="shared" si="164"/>
        <v>0</v>
      </c>
      <c r="P423" s="329">
        <f t="shared" si="164"/>
        <v>0</v>
      </c>
      <c r="Q423" s="329">
        <f t="shared" si="164"/>
        <v>0</v>
      </c>
      <c r="R423" s="329">
        <f t="shared" si="164"/>
        <v>0</v>
      </c>
      <c r="S423" s="329">
        <f t="shared" si="164"/>
        <v>0</v>
      </c>
      <c r="T423" s="329">
        <f t="shared" si="164"/>
        <v>0</v>
      </c>
      <c r="U423" s="329">
        <f t="shared" si="164"/>
        <v>0</v>
      </c>
      <c r="V423" s="329">
        <f t="shared" si="164"/>
        <v>0</v>
      </c>
      <c r="W423" s="329">
        <f t="shared" si="164"/>
        <v>0</v>
      </c>
      <c r="X423" s="329">
        <f t="shared" si="164"/>
        <v>0</v>
      </c>
      <c r="Y423" s="329">
        <f t="shared" si="164"/>
        <v>0</v>
      </c>
      <c r="Z423" s="329">
        <f t="shared" si="164"/>
        <v>0</v>
      </c>
      <c r="AA423" s="329">
        <f t="shared" si="164"/>
        <v>0</v>
      </c>
      <c r="AB423" s="329">
        <f t="shared" si="164"/>
        <v>0</v>
      </c>
      <c r="AC423" s="329">
        <f t="shared" si="164"/>
        <v>0</v>
      </c>
      <c r="AD423" s="329">
        <f t="shared" si="164"/>
        <v>0</v>
      </c>
    </row>
    <row r="424" spans="1:30" hidden="1" outlineLevel="1" x14ac:dyDescent="0.3">
      <c r="B424" s="174"/>
    </row>
    <row r="425" spans="1:30" hidden="1" outlineLevel="1" x14ac:dyDescent="0.3">
      <c r="B425" s="174"/>
    </row>
    <row r="426" spans="1:30" collapsed="1" x14ac:dyDescent="0.3"/>
    <row r="427" spans="1:30" ht="21" x14ac:dyDescent="0.3">
      <c r="A427" s="149" t="s">
        <v>33</v>
      </c>
      <c r="B427" s="152" t="s">
        <v>219</v>
      </c>
      <c r="C427" s="153"/>
      <c r="D427" s="153"/>
      <c r="E427" s="153"/>
      <c r="F427" s="153"/>
      <c r="G427" s="153"/>
      <c r="H427" s="153"/>
      <c r="I427" s="153"/>
      <c r="J427" s="153"/>
      <c r="K427" s="153"/>
      <c r="L427" s="153"/>
      <c r="M427" s="153"/>
      <c r="N427" s="153"/>
      <c r="O427" s="153"/>
      <c r="P427" s="153"/>
      <c r="Q427" s="153"/>
      <c r="R427" s="153"/>
      <c r="S427" s="153"/>
      <c r="T427" s="153"/>
      <c r="U427" s="153"/>
      <c r="V427" s="153"/>
      <c r="W427" s="153"/>
      <c r="X427" s="153"/>
      <c r="Y427" s="153"/>
      <c r="Z427" s="153"/>
      <c r="AA427" s="153"/>
      <c r="AB427" s="153"/>
      <c r="AC427" s="153"/>
      <c r="AD427" s="153"/>
    </row>
    <row r="428" spans="1:30" hidden="1" outlineLevel="1" x14ac:dyDescent="0.3">
      <c r="B428" s="165"/>
    </row>
    <row r="429" spans="1:30" hidden="1" outlineLevel="1" x14ac:dyDescent="0.3">
      <c r="B429" s="155" t="s">
        <v>24</v>
      </c>
      <c r="G429" s="156">
        <f>G$5</f>
        <v>2026</v>
      </c>
      <c r="H429" s="157">
        <f t="shared" ref="H429:AD429" si="165">H$5</f>
        <v>2026</v>
      </c>
      <c r="I429" s="158">
        <f t="shared" si="165"/>
        <v>2026</v>
      </c>
      <c r="J429" s="157">
        <f t="shared" si="165"/>
        <v>2026</v>
      </c>
      <c r="K429" s="157">
        <f t="shared" si="165"/>
        <v>2026</v>
      </c>
      <c r="L429" s="158">
        <f t="shared" si="165"/>
        <v>2026</v>
      </c>
      <c r="M429" s="157">
        <f t="shared" si="165"/>
        <v>2026</v>
      </c>
      <c r="N429" s="157">
        <f t="shared" si="165"/>
        <v>2026</v>
      </c>
      <c r="O429" s="158">
        <f t="shared" si="165"/>
        <v>2026</v>
      </c>
      <c r="P429" s="157">
        <f t="shared" si="165"/>
        <v>2026</v>
      </c>
      <c r="Q429" s="157">
        <f t="shared" si="165"/>
        <v>2026</v>
      </c>
      <c r="R429" s="159">
        <f t="shared" si="165"/>
        <v>2026</v>
      </c>
      <c r="S429" s="157">
        <f t="shared" si="165"/>
        <v>2027</v>
      </c>
      <c r="T429" s="157">
        <f t="shared" si="165"/>
        <v>2027</v>
      </c>
      <c r="U429" s="158">
        <f t="shared" si="165"/>
        <v>2027</v>
      </c>
      <c r="V429" s="157">
        <f t="shared" si="165"/>
        <v>2027</v>
      </c>
      <c r="W429" s="157">
        <f t="shared" si="165"/>
        <v>2027</v>
      </c>
      <c r="X429" s="158">
        <f t="shared" si="165"/>
        <v>2027</v>
      </c>
      <c r="Y429" s="157">
        <f t="shared" si="165"/>
        <v>2027</v>
      </c>
      <c r="Z429" s="157">
        <f t="shared" si="165"/>
        <v>2027</v>
      </c>
      <c r="AA429" s="158">
        <f t="shared" si="165"/>
        <v>2027</v>
      </c>
      <c r="AB429" s="157">
        <f t="shared" si="165"/>
        <v>2027</v>
      </c>
      <c r="AC429" s="157">
        <f t="shared" si="165"/>
        <v>2027</v>
      </c>
      <c r="AD429" s="159">
        <f t="shared" si="165"/>
        <v>2027</v>
      </c>
    </row>
    <row r="430" spans="1:30" hidden="1" outlineLevel="1" x14ac:dyDescent="0.3">
      <c r="B430" s="155" t="str" cm="1">
        <f t="array" ref="B430">CONCATENATE("Model Running: ",INDEX(Inputs!$B$15:$B$17,Inputs!$D$8)," Drivers")</f>
        <v>Model Running: Base Case Drivers</v>
      </c>
      <c r="G430" s="161">
        <f>G$6</f>
        <v>1</v>
      </c>
      <c r="H430" s="162">
        <f t="shared" ref="H430:AD430" si="166">H$6</f>
        <v>1</v>
      </c>
      <c r="I430" s="163">
        <f t="shared" si="166"/>
        <v>1</v>
      </c>
      <c r="J430" s="162">
        <f t="shared" si="166"/>
        <v>2</v>
      </c>
      <c r="K430" s="162">
        <f t="shared" si="166"/>
        <v>2</v>
      </c>
      <c r="L430" s="163">
        <f t="shared" si="166"/>
        <v>2</v>
      </c>
      <c r="M430" s="162">
        <f t="shared" si="166"/>
        <v>3</v>
      </c>
      <c r="N430" s="162">
        <f t="shared" si="166"/>
        <v>3</v>
      </c>
      <c r="O430" s="163">
        <f t="shared" si="166"/>
        <v>3</v>
      </c>
      <c r="P430" s="162">
        <f t="shared" si="166"/>
        <v>4</v>
      </c>
      <c r="Q430" s="162">
        <f t="shared" si="166"/>
        <v>4</v>
      </c>
      <c r="R430" s="164">
        <f t="shared" si="166"/>
        <v>4</v>
      </c>
      <c r="S430" s="162">
        <f t="shared" si="166"/>
        <v>1</v>
      </c>
      <c r="T430" s="162">
        <f t="shared" si="166"/>
        <v>1</v>
      </c>
      <c r="U430" s="163">
        <f t="shared" si="166"/>
        <v>1</v>
      </c>
      <c r="V430" s="162">
        <f t="shared" si="166"/>
        <v>2</v>
      </c>
      <c r="W430" s="162">
        <f t="shared" si="166"/>
        <v>2</v>
      </c>
      <c r="X430" s="163">
        <f t="shared" si="166"/>
        <v>2</v>
      </c>
      <c r="Y430" s="162">
        <f t="shared" si="166"/>
        <v>3</v>
      </c>
      <c r="Z430" s="162">
        <f t="shared" si="166"/>
        <v>3</v>
      </c>
      <c r="AA430" s="163">
        <f t="shared" si="166"/>
        <v>3</v>
      </c>
      <c r="AB430" s="162">
        <f t="shared" si="166"/>
        <v>4</v>
      </c>
      <c r="AC430" s="162">
        <f t="shared" si="166"/>
        <v>4</v>
      </c>
      <c r="AD430" s="164">
        <f t="shared" si="166"/>
        <v>4</v>
      </c>
    </row>
    <row r="431" spans="1:30" hidden="1" outlineLevel="1" x14ac:dyDescent="0.3">
      <c r="G431" s="166">
        <f>G$7</f>
        <v>46053</v>
      </c>
      <c r="H431" s="167">
        <f t="shared" ref="H431:AD431" si="167">H$7</f>
        <v>46081</v>
      </c>
      <c r="I431" s="168">
        <f t="shared" si="167"/>
        <v>46112</v>
      </c>
      <c r="J431" s="167">
        <f t="shared" si="167"/>
        <v>46142</v>
      </c>
      <c r="K431" s="167">
        <f t="shared" si="167"/>
        <v>46173</v>
      </c>
      <c r="L431" s="168">
        <f t="shared" si="167"/>
        <v>46203</v>
      </c>
      <c r="M431" s="167">
        <f t="shared" si="167"/>
        <v>46234</v>
      </c>
      <c r="N431" s="167">
        <f t="shared" si="167"/>
        <v>46265</v>
      </c>
      <c r="O431" s="168">
        <f t="shared" si="167"/>
        <v>46295</v>
      </c>
      <c r="P431" s="167">
        <f t="shared" si="167"/>
        <v>46326</v>
      </c>
      <c r="Q431" s="167">
        <f t="shared" si="167"/>
        <v>46356</v>
      </c>
      <c r="R431" s="169">
        <f t="shared" si="167"/>
        <v>46387</v>
      </c>
      <c r="S431" s="167">
        <f t="shared" si="167"/>
        <v>46418</v>
      </c>
      <c r="T431" s="167">
        <f t="shared" si="167"/>
        <v>46446</v>
      </c>
      <c r="U431" s="168">
        <f t="shared" si="167"/>
        <v>46477</v>
      </c>
      <c r="V431" s="167">
        <f t="shared" si="167"/>
        <v>46507</v>
      </c>
      <c r="W431" s="167">
        <f t="shared" si="167"/>
        <v>46538</v>
      </c>
      <c r="X431" s="168">
        <f t="shared" si="167"/>
        <v>46568</v>
      </c>
      <c r="Y431" s="167">
        <f t="shared" si="167"/>
        <v>46599</v>
      </c>
      <c r="Z431" s="167">
        <f t="shared" si="167"/>
        <v>46630</v>
      </c>
      <c r="AA431" s="168">
        <f t="shared" si="167"/>
        <v>46660</v>
      </c>
      <c r="AB431" s="167">
        <f t="shared" si="167"/>
        <v>46691</v>
      </c>
      <c r="AC431" s="167">
        <f t="shared" si="167"/>
        <v>46721</v>
      </c>
      <c r="AD431" s="169">
        <f t="shared" si="167"/>
        <v>46752</v>
      </c>
    </row>
    <row r="432" spans="1:30" hidden="1" outlineLevel="1" x14ac:dyDescent="0.3">
      <c r="G432" s="278"/>
      <c r="H432" s="278"/>
      <c r="I432" s="278"/>
      <c r="J432" s="278"/>
      <c r="K432" s="278"/>
      <c r="L432" s="278"/>
      <c r="M432" s="278"/>
      <c r="N432" s="278"/>
      <c r="O432" s="278"/>
      <c r="P432" s="278"/>
      <c r="Q432" s="278"/>
      <c r="R432" s="278"/>
      <c r="S432" s="278"/>
      <c r="T432" s="278"/>
      <c r="U432" s="278"/>
      <c r="V432" s="278"/>
      <c r="W432" s="278"/>
      <c r="X432" s="278"/>
      <c r="Y432" s="278"/>
      <c r="Z432" s="278"/>
      <c r="AA432" s="278"/>
      <c r="AB432" s="278"/>
      <c r="AC432" s="278"/>
      <c r="AD432" s="278"/>
    </row>
    <row r="433" spans="2:30" hidden="1" outlineLevel="1" x14ac:dyDescent="0.3"/>
    <row r="434" spans="2:30" hidden="1" outlineLevel="1" x14ac:dyDescent="0.3">
      <c r="B434" s="172" t="s">
        <v>233</v>
      </c>
    </row>
    <row r="435" spans="2:30" hidden="1" outlineLevel="1" x14ac:dyDescent="0.3">
      <c r="B435" s="165" t="s">
        <v>10</v>
      </c>
      <c r="G435" s="196">
        <f t="shared" ref="G435:AD435" si="168">G163</f>
        <v>10958.6736</v>
      </c>
      <c r="H435" s="196">
        <f t="shared" si="168"/>
        <v>11203.755012616321</v>
      </c>
      <c r="I435" s="196">
        <f t="shared" si="168"/>
        <v>11445.843129067427</v>
      </c>
      <c r="J435" s="196">
        <f t="shared" si="168"/>
        <v>11685.523912657565</v>
      </c>
      <c r="K435" s="196">
        <f t="shared" si="168"/>
        <v>11923.371296821064</v>
      </c>
      <c r="L435" s="196">
        <f t="shared" si="168"/>
        <v>12159.948060370698</v>
      </c>
      <c r="M435" s="196">
        <f t="shared" si="168"/>
        <v>12395.806681212705</v>
      </c>
      <c r="N435" s="196">
        <f t="shared" si="168"/>
        <v>12631.490169755094</v>
      </c>
      <c r="O435" s="196">
        <f t="shared" si="168"/>
        <v>12867.532883201688</v>
      </c>
      <c r="P435" s="196">
        <f t="shared" si="168"/>
        <v>13104.461321891878</v>
      </c>
      <c r="Q435" s="196">
        <f t="shared" si="168"/>
        <v>13342.794908815267</v>
      </c>
      <c r="R435" s="196">
        <f t="shared" si="168"/>
        <v>13583.046753401115</v>
      </c>
      <c r="S435" s="196">
        <f t="shared" si="168"/>
        <v>13891.180248237215</v>
      </c>
      <c r="T435" s="196">
        <f t="shared" si="168"/>
        <v>14201.713286010492</v>
      </c>
      <c r="U435" s="196">
        <f t="shared" si="168"/>
        <v>14515.095050805003</v>
      </c>
      <c r="V435" s="196">
        <f t="shared" si="168"/>
        <v>14831.770332743587</v>
      </c>
      <c r="W435" s="196">
        <f t="shared" si="168"/>
        <v>15152.180101056463</v>
      </c>
      <c r="X435" s="196">
        <f t="shared" si="168"/>
        <v>15476.762065522098</v>
      </c>
      <c r="Y435" s="196">
        <f t="shared" si="168"/>
        <v>15805.951227045345</v>
      </c>
      <c r="Z435" s="196">
        <f t="shared" si="168"/>
        <v>16140.180418116599</v>
      </c>
      <c r="AA435" s="196">
        <f t="shared" si="168"/>
        <v>16479.880833875395</v>
      </c>
      <c r="AB435" s="196">
        <f t="shared" si="168"/>
        <v>16825.482554482704</v>
      </c>
      <c r="AC435" s="196">
        <f t="shared" si="168"/>
        <v>17177.415059487928</v>
      </c>
      <c r="AD435" s="196">
        <f t="shared" si="168"/>
        <v>17536.107734859459</v>
      </c>
    </row>
    <row r="436" spans="2:30" hidden="1" outlineLevel="1" x14ac:dyDescent="0.3">
      <c r="B436" s="165" t="s">
        <v>123</v>
      </c>
      <c r="G436" s="178">
        <f>Inputs!F105</f>
        <v>0.02</v>
      </c>
      <c r="H436" s="178">
        <f>Inputs!G105</f>
        <v>0.02</v>
      </c>
      <c r="I436" s="178">
        <f>Inputs!H105</f>
        <v>0.02</v>
      </c>
      <c r="J436" s="178">
        <f>Inputs!I105</f>
        <v>0.02</v>
      </c>
      <c r="K436" s="178">
        <f>Inputs!J105</f>
        <v>0.02</v>
      </c>
      <c r="L436" s="178">
        <f>Inputs!K105</f>
        <v>0.02</v>
      </c>
      <c r="M436" s="178">
        <f>Inputs!L105</f>
        <v>0.02</v>
      </c>
      <c r="N436" s="178">
        <f>Inputs!M105</f>
        <v>0.02</v>
      </c>
      <c r="O436" s="178">
        <f>Inputs!N105</f>
        <v>0.02</v>
      </c>
      <c r="P436" s="178">
        <f>Inputs!O105</f>
        <v>0.02</v>
      </c>
      <c r="Q436" s="178">
        <f>Inputs!P105</f>
        <v>0.02</v>
      </c>
      <c r="R436" s="178">
        <f>Inputs!Q105</f>
        <v>0.02</v>
      </c>
      <c r="S436" s="178">
        <f>Inputs!R105</f>
        <v>1.7999999999999999E-2</v>
      </c>
      <c r="T436" s="178">
        <f>Inputs!S105</f>
        <v>1.7999999999999999E-2</v>
      </c>
      <c r="U436" s="178">
        <f>Inputs!T105</f>
        <v>1.7999999999999999E-2</v>
      </c>
      <c r="V436" s="178">
        <f>Inputs!U105</f>
        <v>1.7999999999999999E-2</v>
      </c>
      <c r="W436" s="178">
        <f>Inputs!V105</f>
        <v>1.7999999999999999E-2</v>
      </c>
      <c r="X436" s="178">
        <f>Inputs!W105</f>
        <v>1.7999999999999999E-2</v>
      </c>
      <c r="Y436" s="178">
        <f>Inputs!X105</f>
        <v>1.7999999999999999E-2</v>
      </c>
      <c r="Z436" s="178">
        <f>Inputs!Y105</f>
        <v>1.7999999999999999E-2</v>
      </c>
      <c r="AA436" s="178">
        <f>Inputs!Z105</f>
        <v>1.7999999999999999E-2</v>
      </c>
      <c r="AB436" s="178">
        <f>Inputs!AA105</f>
        <v>1.7999999999999999E-2</v>
      </c>
      <c r="AC436" s="178">
        <f>Inputs!AB105</f>
        <v>1.7999999999999999E-2</v>
      </c>
      <c r="AD436" s="178">
        <f>Inputs!AC105</f>
        <v>1.7999999999999999E-2</v>
      </c>
    </row>
    <row r="437" spans="2:30" hidden="1" outlineLevel="1" x14ac:dyDescent="0.3">
      <c r="B437" s="165" t="s">
        <v>265</v>
      </c>
      <c r="D437" s="291"/>
      <c r="E437" s="291" t="s">
        <v>266</v>
      </c>
      <c r="F437" s="291"/>
      <c r="G437" s="196">
        <f>Inputs!$O$118</f>
        <v>36</v>
      </c>
      <c r="H437" s="196">
        <f>Inputs!$O$118</f>
        <v>36</v>
      </c>
      <c r="I437" s="196">
        <f>Inputs!$O$118</f>
        <v>36</v>
      </c>
      <c r="J437" s="196">
        <f>Inputs!$O$118</f>
        <v>36</v>
      </c>
      <c r="K437" s="196">
        <f>Inputs!$O$118</f>
        <v>36</v>
      </c>
      <c r="L437" s="196">
        <f>Inputs!$O$118</f>
        <v>36</v>
      </c>
      <c r="M437" s="196">
        <f>Inputs!$O$118</f>
        <v>36</v>
      </c>
      <c r="N437" s="196">
        <f>Inputs!$O$118</f>
        <v>36</v>
      </c>
      <c r="O437" s="196">
        <f>Inputs!$O$118</f>
        <v>36</v>
      </c>
      <c r="P437" s="196">
        <f>Inputs!$O$118</f>
        <v>36</v>
      </c>
      <c r="Q437" s="196">
        <f>Inputs!$O$118</f>
        <v>36</v>
      </c>
      <c r="R437" s="196">
        <f>Inputs!$O$118</f>
        <v>36</v>
      </c>
      <c r="S437" s="196">
        <f>Inputs!$O$118</f>
        <v>36</v>
      </c>
      <c r="T437" s="196">
        <f>Inputs!$O$118</f>
        <v>36</v>
      </c>
      <c r="U437" s="196">
        <f>Inputs!$O$118</f>
        <v>36</v>
      </c>
      <c r="V437" s="196">
        <f>Inputs!$O$118</f>
        <v>36</v>
      </c>
      <c r="W437" s="196">
        <f>Inputs!$O$118</f>
        <v>36</v>
      </c>
      <c r="X437" s="196">
        <f>Inputs!$O$118</f>
        <v>36</v>
      </c>
      <c r="Y437" s="196">
        <f>Inputs!$O$118</f>
        <v>36</v>
      </c>
      <c r="Z437" s="196">
        <f>Inputs!$O$118</f>
        <v>36</v>
      </c>
      <c r="AA437" s="196">
        <f>Inputs!$O$118</f>
        <v>36</v>
      </c>
      <c r="AB437" s="196">
        <f>Inputs!$O$118</f>
        <v>36</v>
      </c>
      <c r="AC437" s="196">
        <f>Inputs!$O$118</f>
        <v>36</v>
      </c>
      <c r="AD437" s="196">
        <f>Inputs!$O$118</f>
        <v>36</v>
      </c>
    </row>
    <row r="438" spans="2:30" hidden="1" outlineLevel="1" x14ac:dyDescent="0.3">
      <c r="B438" s="165" t="s">
        <v>273</v>
      </c>
      <c r="D438" s="291"/>
      <c r="E438" s="291" t="s">
        <v>266</v>
      </c>
      <c r="F438" s="291"/>
      <c r="G438" s="196">
        <f>Inputs!$O$119</f>
        <v>36</v>
      </c>
      <c r="H438" s="196">
        <f>Inputs!$O$119</f>
        <v>36</v>
      </c>
      <c r="I438" s="196">
        <f>Inputs!$O$119</f>
        <v>36</v>
      </c>
      <c r="J438" s="196">
        <f>Inputs!$O$119</f>
        <v>36</v>
      </c>
      <c r="K438" s="196">
        <f>Inputs!$O$119</f>
        <v>36</v>
      </c>
      <c r="L438" s="196">
        <f>Inputs!$O$119</f>
        <v>36</v>
      </c>
      <c r="M438" s="196">
        <f>Inputs!$O$119</f>
        <v>36</v>
      </c>
      <c r="N438" s="196">
        <f>Inputs!$O$119</f>
        <v>36</v>
      </c>
      <c r="O438" s="196">
        <f>Inputs!$O$119</f>
        <v>36</v>
      </c>
      <c r="P438" s="196">
        <f>Inputs!$O$119</f>
        <v>36</v>
      </c>
      <c r="Q438" s="196">
        <f>Inputs!$O$119</f>
        <v>36</v>
      </c>
      <c r="R438" s="196">
        <f>Inputs!$O$119</f>
        <v>36</v>
      </c>
      <c r="S438" s="196">
        <f>Inputs!$O$119</f>
        <v>36</v>
      </c>
      <c r="T438" s="196">
        <f>Inputs!$O$119</f>
        <v>36</v>
      </c>
      <c r="U438" s="196">
        <f>Inputs!$O$119</f>
        <v>36</v>
      </c>
      <c r="V438" s="196">
        <f>Inputs!$O$119</f>
        <v>36</v>
      </c>
      <c r="W438" s="196">
        <f>Inputs!$O$119</f>
        <v>36</v>
      </c>
      <c r="X438" s="196">
        <f>Inputs!$O$119</f>
        <v>36</v>
      </c>
      <c r="Y438" s="196">
        <f>Inputs!$O$119</f>
        <v>36</v>
      </c>
      <c r="Z438" s="196">
        <f>Inputs!$O$119</f>
        <v>36</v>
      </c>
      <c r="AA438" s="196">
        <f>Inputs!$O$119</f>
        <v>36</v>
      </c>
      <c r="AB438" s="196">
        <f>Inputs!$O$119</f>
        <v>36</v>
      </c>
      <c r="AC438" s="196">
        <f>Inputs!$O$119</f>
        <v>36</v>
      </c>
      <c r="AD438" s="196">
        <f>Inputs!$O$119</f>
        <v>36</v>
      </c>
    </row>
    <row r="439" spans="2:30" hidden="1" outlineLevel="1" x14ac:dyDescent="0.3"/>
    <row r="440" spans="2:30" hidden="1" outlineLevel="1" x14ac:dyDescent="0.3">
      <c r="B440" s="192" t="s">
        <v>267</v>
      </c>
    </row>
    <row r="441" spans="2:30" hidden="1" outlineLevel="1" x14ac:dyDescent="0.3">
      <c r="B441" s="165" t="s">
        <v>116</v>
      </c>
      <c r="G441" s="323">
        <f>G435*G436/Inputs!$E$207</f>
        <v>18.264455999999999</v>
      </c>
      <c r="H441" s="324">
        <f>H435*H436/Inputs!$E$207</f>
        <v>18.672925021027201</v>
      </c>
      <c r="I441" s="325">
        <f>I435*I436/Inputs!$E$207</f>
        <v>19.076405215112377</v>
      </c>
      <c r="J441" s="324">
        <f>J435*J436/Inputs!$E$207</f>
        <v>19.475873187762609</v>
      </c>
      <c r="K441" s="324">
        <f>K435*K436/Inputs!$E$207</f>
        <v>19.872285494701774</v>
      </c>
      <c r="L441" s="325">
        <f>L435*L436/Inputs!$E$207</f>
        <v>20.26658010061783</v>
      </c>
      <c r="M441" s="324">
        <f>M435*M436/Inputs!$E$207</f>
        <v>20.659677802021175</v>
      </c>
      <c r="N441" s="324">
        <f>N435*N436/Inputs!$E$207</f>
        <v>21.052483616258488</v>
      </c>
      <c r="O441" s="325">
        <f>O435*O436/Inputs!$E$207</f>
        <v>21.445888138669478</v>
      </c>
      <c r="P441" s="324">
        <f>P435*P436/Inputs!$E$207</f>
        <v>21.840768869819797</v>
      </c>
      <c r="Q441" s="324">
        <f>Q435*Q436/Inputs!$E$207</f>
        <v>22.237991514692112</v>
      </c>
      <c r="R441" s="325">
        <f>R435*R436/Inputs!$E$207</f>
        <v>22.638411255668526</v>
      </c>
      <c r="S441" s="324">
        <f>S435*S436/Inputs!$E$207</f>
        <v>20.836770372355819</v>
      </c>
      <c r="T441" s="324">
        <f>T435*T436/Inputs!$E$207</f>
        <v>21.302569929015736</v>
      </c>
      <c r="U441" s="325">
        <f>U435*U436/Inputs!$E$207</f>
        <v>21.772642576207502</v>
      </c>
      <c r="V441" s="324">
        <f>V435*V436/Inputs!$E$207</f>
        <v>22.247655499115378</v>
      </c>
      <c r="W441" s="324">
        <f>W435*W436/Inputs!$E$207</f>
        <v>22.728270151584695</v>
      </c>
      <c r="X441" s="325">
        <f>X435*X436/Inputs!$E$207</f>
        <v>23.215143098283146</v>
      </c>
      <c r="Y441" s="324">
        <f>Y435*Y436/Inputs!$E$207</f>
        <v>23.708926840568015</v>
      </c>
      <c r="Z441" s="324">
        <f>Z435*Z436/Inputs!$E$207</f>
        <v>24.210270627174896</v>
      </c>
      <c r="AA441" s="325">
        <f>AA435*AA436/Inputs!$E$207</f>
        <v>24.719821250813094</v>
      </c>
      <c r="AB441" s="324">
        <f>AB435*AB436/Inputs!$E$207</f>
        <v>25.238223831724053</v>
      </c>
      <c r="AC441" s="324">
        <f>AC435*AC436/Inputs!$E$207</f>
        <v>25.766122589231887</v>
      </c>
      <c r="AD441" s="325">
        <f>AD435*AD436/Inputs!$E$207</f>
        <v>26.304161602289184</v>
      </c>
    </row>
    <row r="442" spans="2:30" hidden="1" outlineLevel="1" x14ac:dyDescent="0.3"/>
    <row r="443" spans="2:30" hidden="1" outlineLevel="1" x14ac:dyDescent="0.3">
      <c r="B443" s="172" t="s">
        <v>263</v>
      </c>
    </row>
    <row r="444" spans="2:30" hidden="1" outlineLevel="1" x14ac:dyDescent="0.3">
      <c r="B444" s="165" t="s">
        <v>223</v>
      </c>
      <c r="G444" s="196">
        <f>IF(Inputs!E195&gt;0,Inputs!E195,'Operational Model'!F446)</f>
        <v>900</v>
      </c>
      <c r="H444" s="196">
        <f>IF(Inputs!F195&gt;0,Inputs!F195,'Operational Model'!G446)</f>
        <v>918.264456</v>
      </c>
      <c r="I444" s="196">
        <f>IF(Inputs!G195&gt;0,Inputs!G195,'Operational Model'!H446)</f>
        <v>936.93738102102725</v>
      </c>
      <c r="J444" s="196">
        <f>IF(Inputs!H195&gt;0,Inputs!H195,'Operational Model'!I446)</f>
        <v>956.01378623613959</v>
      </c>
      <c r="K444" s="196">
        <f>IF(Inputs!I195&gt;0,Inputs!I195,'Operational Model'!J446)</f>
        <v>975.48965942390225</v>
      </c>
      <c r="L444" s="196">
        <f>IF(Inputs!J195&gt;0,Inputs!J195,'Operational Model'!K446)</f>
        <v>995.36194491860408</v>
      </c>
      <c r="M444" s="196">
        <f>IF(Inputs!K195&gt;0,Inputs!K195,'Operational Model'!L446)</f>
        <v>1015.6285250192219</v>
      </c>
      <c r="N444" s="196">
        <f>IF(Inputs!L195&gt;0,Inputs!L195,'Operational Model'!M446)</f>
        <v>1036.288202821243</v>
      </c>
      <c r="O444" s="196">
        <f>IF(Inputs!M195&gt;0,Inputs!M195,'Operational Model'!N446)</f>
        <v>1057.3406864375015</v>
      </c>
      <c r="P444" s="196">
        <f>IF(Inputs!N195&gt;0,Inputs!N195,'Operational Model'!O446)</f>
        <v>1078.786574576171</v>
      </c>
      <c r="Q444" s="196">
        <f>IF(Inputs!O195&gt;0,Inputs!O195,'Operational Model'!P446)</f>
        <v>1100.6273434459908</v>
      </c>
      <c r="R444" s="196">
        <f>IF(Inputs!P195&gt;0,Inputs!P195,'Operational Model'!Q446)</f>
        <v>1122.865334960683</v>
      </c>
      <c r="S444" s="196">
        <f>IF(Inputs!Q195&gt;0,Inputs!Q195,'Operational Model'!R446)</f>
        <v>1145.5037462163514</v>
      </c>
      <c r="T444" s="196">
        <f>IF(Inputs!R195&gt;0,Inputs!R195,'Operational Model'!S446)</f>
        <v>1166.3405165887073</v>
      </c>
      <c r="U444" s="196">
        <f>IF(Inputs!S195&gt;0,Inputs!S195,'Operational Model'!T446)</f>
        <v>1187.6430865177231</v>
      </c>
      <c r="V444" s="196">
        <f>IF(Inputs!T195&gt;0,Inputs!T195,'Operational Model'!U446)</f>
        <v>1209.4157290939306</v>
      </c>
      <c r="W444" s="196">
        <f>IF(Inputs!U195&gt;0,Inputs!U195,'Operational Model'!V446)</f>
        <v>1231.663384593046</v>
      </c>
      <c r="X444" s="196">
        <f>IF(Inputs!V195&gt;0,Inputs!V195,'Operational Model'!W446)</f>
        <v>1254.3916547446306</v>
      </c>
      <c r="Y444" s="196">
        <f>IF(Inputs!W195&gt;0,Inputs!W195,'Operational Model'!X446)</f>
        <v>1277.6067978429137</v>
      </c>
      <c r="Z444" s="196">
        <f>IF(Inputs!X195&gt;0,Inputs!X195,'Operational Model'!Y446)</f>
        <v>1301.3157246834817</v>
      </c>
      <c r="AA444" s="196">
        <f>IF(Inputs!Y195&gt;0,Inputs!Y195,'Operational Model'!Z446)</f>
        <v>1325.5259953106565</v>
      </c>
      <c r="AB444" s="196">
        <f>IF(Inputs!Z195&gt;0,Inputs!Z195,'Operational Model'!AA446)</f>
        <v>1350.2458165614696</v>
      </c>
      <c r="AC444" s="196">
        <f>IF(Inputs!AA195&gt;0,Inputs!AA195,'Operational Model'!AB446)</f>
        <v>1375.4840403931937</v>
      </c>
      <c r="AD444" s="196">
        <f>IF(Inputs!AB195&gt;0,Inputs!AB195,'Operational Model'!AC446)</f>
        <v>1401.2501629824255</v>
      </c>
    </row>
    <row r="445" spans="2:30" hidden="1" outlineLevel="1" x14ac:dyDescent="0.3">
      <c r="B445" s="165" t="s">
        <v>116</v>
      </c>
      <c r="G445" s="196">
        <f>G441</f>
        <v>18.264455999999999</v>
      </c>
      <c r="H445" s="196">
        <f t="shared" ref="H445:AD445" si="169">H441</f>
        <v>18.672925021027201</v>
      </c>
      <c r="I445" s="196">
        <f t="shared" si="169"/>
        <v>19.076405215112377</v>
      </c>
      <c r="J445" s="196">
        <f t="shared" si="169"/>
        <v>19.475873187762609</v>
      </c>
      <c r="K445" s="196">
        <f t="shared" si="169"/>
        <v>19.872285494701774</v>
      </c>
      <c r="L445" s="196">
        <f t="shared" si="169"/>
        <v>20.26658010061783</v>
      </c>
      <c r="M445" s="196">
        <f t="shared" si="169"/>
        <v>20.659677802021175</v>
      </c>
      <c r="N445" s="196">
        <f t="shared" si="169"/>
        <v>21.052483616258488</v>
      </c>
      <c r="O445" s="196">
        <f t="shared" si="169"/>
        <v>21.445888138669478</v>
      </c>
      <c r="P445" s="196">
        <f t="shared" si="169"/>
        <v>21.840768869819797</v>
      </c>
      <c r="Q445" s="196">
        <f t="shared" si="169"/>
        <v>22.237991514692112</v>
      </c>
      <c r="R445" s="196">
        <f t="shared" si="169"/>
        <v>22.638411255668526</v>
      </c>
      <c r="S445" s="196">
        <f t="shared" si="169"/>
        <v>20.836770372355819</v>
      </c>
      <c r="T445" s="196">
        <f t="shared" si="169"/>
        <v>21.302569929015736</v>
      </c>
      <c r="U445" s="196">
        <f t="shared" si="169"/>
        <v>21.772642576207502</v>
      </c>
      <c r="V445" s="196">
        <f t="shared" si="169"/>
        <v>22.247655499115378</v>
      </c>
      <c r="W445" s="196">
        <f t="shared" si="169"/>
        <v>22.728270151584695</v>
      </c>
      <c r="X445" s="196">
        <f t="shared" si="169"/>
        <v>23.215143098283146</v>
      </c>
      <c r="Y445" s="196">
        <f t="shared" si="169"/>
        <v>23.708926840568015</v>
      </c>
      <c r="Z445" s="196">
        <f t="shared" si="169"/>
        <v>24.210270627174896</v>
      </c>
      <c r="AA445" s="196">
        <f t="shared" si="169"/>
        <v>24.719821250813094</v>
      </c>
      <c r="AB445" s="196">
        <f t="shared" si="169"/>
        <v>25.238223831724053</v>
      </c>
      <c r="AC445" s="196">
        <f t="shared" si="169"/>
        <v>25.766122589231887</v>
      </c>
      <c r="AD445" s="196">
        <f t="shared" si="169"/>
        <v>26.304161602289184</v>
      </c>
    </row>
    <row r="446" spans="2:30" hidden="1" outlineLevel="1" x14ac:dyDescent="0.3">
      <c r="B446" s="165" t="s">
        <v>224</v>
      </c>
      <c r="G446" s="292">
        <f>SUM(G444:G445)</f>
        <v>918.264456</v>
      </c>
      <c r="H446" s="292">
        <f t="shared" ref="H446:AD446" si="170">SUM(H444:H445)</f>
        <v>936.93738102102725</v>
      </c>
      <c r="I446" s="292">
        <f t="shared" si="170"/>
        <v>956.01378623613959</v>
      </c>
      <c r="J446" s="292">
        <f t="shared" si="170"/>
        <v>975.48965942390225</v>
      </c>
      <c r="K446" s="292">
        <f t="shared" si="170"/>
        <v>995.36194491860408</v>
      </c>
      <c r="L446" s="292">
        <f t="shared" si="170"/>
        <v>1015.6285250192219</v>
      </c>
      <c r="M446" s="292">
        <f t="shared" si="170"/>
        <v>1036.288202821243</v>
      </c>
      <c r="N446" s="292">
        <f>SUM(N444:N445)</f>
        <v>1057.3406864375015</v>
      </c>
      <c r="O446" s="292">
        <f t="shared" si="170"/>
        <v>1078.786574576171</v>
      </c>
      <c r="P446" s="292">
        <f t="shared" si="170"/>
        <v>1100.6273434459908</v>
      </c>
      <c r="Q446" s="292">
        <f t="shared" si="170"/>
        <v>1122.865334960683</v>
      </c>
      <c r="R446" s="292">
        <f t="shared" si="170"/>
        <v>1145.5037462163514</v>
      </c>
      <c r="S446" s="292">
        <f t="shared" si="170"/>
        <v>1166.3405165887073</v>
      </c>
      <c r="T446" s="292">
        <f t="shared" si="170"/>
        <v>1187.6430865177231</v>
      </c>
      <c r="U446" s="292">
        <f t="shared" si="170"/>
        <v>1209.4157290939306</v>
      </c>
      <c r="V446" s="292">
        <f t="shared" si="170"/>
        <v>1231.663384593046</v>
      </c>
      <c r="W446" s="292">
        <f t="shared" si="170"/>
        <v>1254.3916547446306</v>
      </c>
      <c r="X446" s="292">
        <f t="shared" si="170"/>
        <v>1277.6067978429137</v>
      </c>
      <c r="Y446" s="292">
        <f t="shared" si="170"/>
        <v>1301.3157246834817</v>
      </c>
      <c r="Z446" s="292">
        <f t="shared" si="170"/>
        <v>1325.5259953106565</v>
      </c>
      <c r="AA446" s="292">
        <f t="shared" si="170"/>
        <v>1350.2458165614696</v>
      </c>
      <c r="AB446" s="292">
        <f t="shared" si="170"/>
        <v>1375.4840403931937</v>
      </c>
      <c r="AC446" s="292">
        <f t="shared" si="170"/>
        <v>1401.2501629824255</v>
      </c>
      <c r="AD446" s="292">
        <f t="shared" si="170"/>
        <v>1427.5543245847148</v>
      </c>
    </row>
    <row r="447" spans="2:30" hidden="1" outlineLevel="1" x14ac:dyDescent="0.3">
      <c r="B447" s="165"/>
    </row>
    <row r="448" spans="2:30" hidden="1" outlineLevel="1" x14ac:dyDescent="0.3">
      <c r="B448" s="192" t="s">
        <v>163</v>
      </c>
    </row>
    <row r="449" spans="2:30" hidden="1" outlineLevel="1" x14ac:dyDescent="0.3">
      <c r="B449" s="174" t="s">
        <v>269</v>
      </c>
      <c r="G449" s="196">
        <f>Inputs!$E$197/G438</f>
        <v>15.277777777777779</v>
      </c>
      <c r="H449" s="196">
        <f>Inputs!$E$197/H438</f>
        <v>15.277777777777779</v>
      </c>
      <c r="I449" s="196">
        <f>Inputs!$E$197/I438</f>
        <v>15.277777777777779</v>
      </c>
      <c r="J449" s="196">
        <f>Inputs!$E$197/J438</f>
        <v>15.277777777777779</v>
      </c>
      <c r="K449" s="196">
        <f>Inputs!$E$197/K438</f>
        <v>15.277777777777779</v>
      </c>
      <c r="L449" s="196">
        <f>Inputs!$E$197/L438</f>
        <v>15.277777777777779</v>
      </c>
      <c r="M449" s="196">
        <f>Inputs!$E$197/M438</f>
        <v>15.277777777777779</v>
      </c>
      <c r="N449" s="196">
        <f>Inputs!$E$197/N438</f>
        <v>15.277777777777779</v>
      </c>
      <c r="O449" s="196">
        <f>Inputs!$E$197/O438</f>
        <v>15.277777777777779</v>
      </c>
      <c r="P449" s="196">
        <f>Inputs!$E$197/P438</f>
        <v>15.277777777777779</v>
      </c>
      <c r="Q449" s="196">
        <f>Inputs!$E$197/Q438</f>
        <v>15.277777777777779</v>
      </c>
      <c r="R449" s="196">
        <f>Inputs!$E$197/R438</f>
        <v>15.277777777777779</v>
      </c>
      <c r="S449" s="196">
        <f>Inputs!$E$197/S438</f>
        <v>15.277777777777779</v>
      </c>
      <c r="T449" s="196">
        <f>Inputs!$E$197/T438</f>
        <v>15.277777777777779</v>
      </c>
      <c r="U449" s="196">
        <f>Inputs!$E$197/U438</f>
        <v>15.277777777777779</v>
      </c>
      <c r="V449" s="196">
        <f>Inputs!$E$197/V438</f>
        <v>15.277777777777779</v>
      </c>
      <c r="W449" s="196">
        <f>Inputs!$E$197/W438</f>
        <v>15.277777777777779</v>
      </c>
      <c r="X449" s="196">
        <f>Inputs!$E$197/X438</f>
        <v>15.277777777777779</v>
      </c>
      <c r="Y449" s="196">
        <f>Inputs!$E$197/Y438</f>
        <v>15.277777777777779</v>
      </c>
      <c r="Z449" s="196">
        <f>Inputs!$E$197/Z438</f>
        <v>15.277777777777779</v>
      </c>
      <c r="AA449" s="196">
        <f>Inputs!$E$197/AA438</f>
        <v>15.277777777777779</v>
      </c>
      <c r="AB449" s="196">
        <f>Inputs!$E$197/AB438</f>
        <v>15.277777777777779</v>
      </c>
      <c r="AC449" s="196">
        <f>Inputs!$E$197/AC438</f>
        <v>15.277777777777779</v>
      </c>
      <c r="AD449" s="196">
        <f>Inputs!$E$197/AD438</f>
        <v>15.277777777777779</v>
      </c>
    </row>
    <row r="450" spans="2:30" hidden="1" outlineLevel="1" x14ac:dyDescent="0.3">
      <c r="B450" s="174" t="s">
        <v>270</v>
      </c>
      <c r="G450" s="196">
        <f>F450+G445/G437</f>
        <v>0.50734599999999996</v>
      </c>
      <c r="H450" s="196">
        <f>G450+H445/H437</f>
        <v>1.0260383616952</v>
      </c>
      <c r="I450" s="196">
        <f>H450+I445/I437</f>
        <v>1.5559385065594327</v>
      </c>
      <c r="J450" s="196">
        <f t="shared" ref="J450:AD450" si="171">I450+J445/J437</f>
        <v>2.0969349839972828</v>
      </c>
      <c r="K450" s="196">
        <f t="shared" si="171"/>
        <v>2.6489429144056653</v>
      </c>
      <c r="L450" s="196">
        <f t="shared" si="171"/>
        <v>3.2119034727561608</v>
      </c>
      <c r="M450" s="196">
        <f t="shared" si="171"/>
        <v>3.7857834117011935</v>
      </c>
      <c r="N450" s="196">
        <f t="shared" si="171"/>
        <v>4.3705746232639289</v>
      </c>
      <c r="O450" s="196">
        <f t="shared" si="171"/>
        <v>4.9662937382269696</v>
      </c>
      <c r="P450" s="196">
        <f t="shared" si="171"/>
        <v>5.5729817623886309</v>
      </c>
      <c r="Q450" s="196">
        <f t="shared" si="171"/>
        <v>6.1907037489078558</v>
      </c>
      <c r="R450" s="196">
        <f t="shared" si="171"/>
        <v>6.8195485060097596</v>
      </c>
      <c r="S450" s="196">
        <f t="shared" si="171"/>
        <v>7.3983476830196437</v>
      </c>
      <c r="T450" s="196">
        <f t="shared" si="171"/>
        <v>7.9900857366034144</v>
      </c>
      <c r="U450" s="196">
        <f t="shared" si="171"/>
        <v>8.5948813637202903</v>
      </c>
      <c r="V450" s="196">
        <f t="shared" si="171"/>
        <v>9.2128717942512726</v>
      </c>
      <c r="W450" s="196">
        <f t="shared" si="171"/>
        <v>9.8442126317952923</v>
      </c>
      <c r="X450" s="196">
        <f t="shared" si="171"/>
        <v>10.489077717858713</v>
      </c>
      <c r="Y450" s="196">
        <f t="shared" si="171"/>
        <v>11.147659018985602</v>
      </c>
      <c r="Z450" s="196">
        <f t="shared" si="171"/>
        <v>11.820166536407127</v>
      </c>
      <c r="AA450" s="196">
        <f t="shared" si="171"/>
        <v>12.506828237818603</v>
      </c>
      <c r="AB450" s="196">
        <f t="shared" si="171"/>
        <v>13.207890010922048</v>
      </c>
      <c r="AC450" s="196">
        <f t="shared" si="171"/>
        <v>13.923615638400712</v>
      </c>
      <c r="AD450" s="196">
        <f t="shared" si="171"/>
        <v>14.654286794019855</v>
      </c>
    </row>
    <row r="451" spans="2:30" hidden="1" outlineLevel="1" x14ac:dyDescent="0.3">
      <c r="B451" s="174" t="s">
        <v>271</v>
      </c>
      <c r="G451" s="292">
        <f>SUM(G449:G450)</f>
        <v>15.785123777777779</v>
      </c>
      <c r="H451" s="292">
        <f t="shared" ref="H451:AD451" si="172">SUM(H449:H450)</f>
        <v>16.303816139472978</v>
      </c>
      <c r="I451" s="292">
        <f t="shared" si="172"/>
        <v>16.833716284337211</v>
      </c>
      <c r="J451" s="292">
        <f t="shared" si="172"/>
        <v>17.374712761775061</v>
      </c>
      <c r="K451" s="292">
        <f t="shared" si="172"/>
        <v>17.926720692183444</v>
      </c>
      <c r="L451" s="292">
        <f t="shared" si="172"/>
        <v>18.489681250533941</v>
      </c>
      <c r="M451" s="292">
        <f t="shared" si="172"/>
        <v>19.063561189478971</v>
      </c>
      <c r="N451" s="292">
        <f>SUM(N449:N450)</f>
        <v>19.648352401041706</v>
      </c>
      <c r="O451" s="292">
        <f t="shared" si="172"/>
        <v>20.244071516004748</v>
      </c>
      <c r="P451" s="292">
        <f t="shared" si="172"/>
        <v>20.850759540166408</v>
      </c>
      <c r="Q451" s="292">
        <f t="shared" si="172"/>
        <v>21.468481526685636</v>
      </c>
      <c r="R451" s="292">
        <f t="shared" si="172"/>
        <v>22.097326283787538</v>
      </c>
      <c r="S451" s="292">
        <f t="shared" si="172"/>
        <v>22.676125460797422</v>
      </c>
      <c r="T451" s="292">
        <f t="shared" si="172"/>
        <v>23.267863514381194</v>
      </c>
      <c r="U451" s="292">
        <f t="shared" si="172"/>
        <v>23.872659141498069</v>
      </c>
      <c r="V451" s="292">
        <f t="shared" si="172"/>
        <v>24.490649572029049</v>
      </c>
      <c r="W451" s="292">
        <f t="shared" si="172"/>
        <v>25.121990409573073</v>
      </c>
      <c r="X451" s="292">
        <f t="shared" si="172"/>
        <v>25.766855495636491</v>
      </c>
      <c r="Y451" s="292">
        <f t="shared" si="172"/>
        <v>26.425436796763378</v>
      </c>
      <c r="Z451" s="292">
        <f t="shared" si="172"/>
        <v>27.097944314184907</v>
      </c>
      <c r="AA451" s="292">
        <f t="shared" si="172"/>
        <v>27.784606015596381</v>
      </c>
      <c r="AB451" s="292">
        <f t="shared" si="172"/>
        <v>28.485667788699828</v>
      </c>
      <c r="AC451" s="292">
        <f t="shared" si="172"/>
        <v>29.20139341617849</v>
      </c>
      <c r="AD451" s="292">
        <f t="shared" si="172"/>
        <v>29.932064571797632</v>
      </c>
    </row>
    <row r="452" spans="2:30" hidden="1" outlineLevel="1" x14ac:dyDescent="0.3"/>
    <row r="453" spans="2:30" hidden="1" outlineLevel="1" x14ac:dyDescent="0.3">
      <c r="B453" s="172" t="s">
        <v>264</v>
      </c>
    </row>
    <row r="454" spans="2:30" hidden="1" outlineLevel="1" x14ac:dyDescent="0.3">
      <c r="B454" s="165" t="s">
        <v>225</v>
      </c>
      <c r="G454" s="196">
        <f>IF(Inputs!E196&gt;0,Inputs!E196,'Operational Model'!F456)</f>
        <v>350</v>
      </c>
      <c r="H454" s="196">
        <f>IF(Inputs!F196&gt;0,Inputs!F196,'Operational Model'!G456)</f>
        <v>365.78512377777776</v>
      </c>
      <c r="I454" s="196">
        <f>IF(Inputs!G196&gt;0,Inputs!G196,'Operational Model'!H456)</f>
        <v>382.08893991725074</v>
      </c>
      <c r="J454" s="196">
        <f>IF(Inputs!H196&gt;0,Inputs!H196,'Operational Model'!I456)</f>
        <v>398.92265620158793</v>
      </c>
      <c r="K454" s="196">
        <f>IF(Inputs!I196&gt;0,Inputs!I196,'Operational Model'!J456)</f>
        <v>416.297368963363</v>
      </c>
      <c r="L454" s="196">
        <f>IF(Inputs!J196&gt;0,Inputs!J196,'Operational Model'!K456)</f>
        <v>434.22408965554644</v>
      </c>
      <c r="M454" s="196">
        <f>IF(Inputs!K196&gt;0,Inputs!K196,'Operational Model'!L456)</f>
        <v>452.71377090608036</v>
      </c>
      <c r="N454" s="196">
        <f>IF(Inputs!L196&gt;0,Inputs!L196,'Operational Model'!M456)</f>
        <v>471.7773320955593</v>
      </c>
      <c r="O454" s="196">
        <f>IF(Inputs!M196&gt;0,Inputs!M196,'Operational Model'!N456)</f>
        <v>491.42568449660098</v>
      </c>
      <c r="P454" s="196">
        <f>IF(Inputs!N196&gt;0,Inputs!N196,'Operational Model'!O456)</f>
        <v>511.66975601260572</v>
      </c>
      <c r="Q454" s="196">
        <f>IF(Inputs!O196&gt;0,Inputs!O196,'Operational Model'!P456)</f>
        <v>532.52051555277217</v>
      </c>
      <c r="R454" s="196">
        <f>IF(Inputs!P196&gt;0,Inputs!P196,'Operational Model'!Q456)</f>
        <v>553.98899707945782</v>
      </c>
      <c r="S454" s="196">
        <f>IF(Inputs!Q196&gt;0,Inputs!Q196,'Operational Model'!R456)</f>
        <v>576.08632336324536</v>
      </c>
      <c r="T454" s="196">
        <f>IF(Inputs!R196&gt;0,Inputs!R196,'Operational Model'!S456)</f>
        <v>598.76244882404274</v>
      </c>
      <c r="U454" s="196">
        <f>IF(Inputs!S196&gt;0,Inputs!S196,'Operational Model'!T456)</f>
        <v>622.03031233842398</v>
      </c>
      <c r="V454" s="196">
        <f>IF(Inputs!T196&gt;0,Inputs!T196,'Operational Model'!U456)</f>
        <v>645.90297147992203</v>
      </c>
      <c r="W454" s="196">
        <f>IF(Inputs!U196&gt;0,Inputs!U196,'Operational Model'!V456)</f>
        <v>670.39362105195107</v>
      </c>
      <c r="X454" s="196">
        <f>IF(Inputs!V196&gt;0,Inputs!V196,'Operational Model'!W456)</f>
        <v>695.51561146152414</v>
      </c>
      <c r="Y454" s="196">
        <f>IF(Inputs!W196&gt;0,Inputs!W196,'Operational Model'!X456)</f>
        <v>721.28246695716064</v>
      </c>
      <c r="Z454" s="196">
        <f>IF(Inputs!X196&gt;0,Inputs!X196,'Operational Model'!Y456)</f>
        <v>747.70790375392403</v>
      </c>
      <c r="AA454" s="196">
        <f>IF(Inputs!Y196&gt;0,Inputs!Y196,'Operational Model'!Z456)</f>
        <v>774.80584806810896</v>
      </c>
      <c r="AB454" s="196">
        <f>IF(Inputs!Z196&gt;0,Inputs!Z196,'Operational Model'!AA456)</f>
        <v>802.59045408370537</v>
      </c>
      <c r="AC454" s="196">
        <f>IF(Inputs!AA196&gt;0,Inputs!AA196,'Operational Model'!AB456)</f>
        <v>831.07612187240522</v>
      </c>
      <c r="AD454" s="196">
        <f>IF(Inputs!AB196&gt;0,Inputs!AB196,'Operational Model'!AC456)</f>
        <v>860.27751528858369</v>
      </c>
    </row>
    <row r="455" spans="2:30" hidden="1" outlineLevel="1" x14ac:dyDescent="0.3">
      <c r="B455" s="165" t="s">
        <v>226</v>
      </c>
      <c r="G455" s="196">
        <f>G451</f>
        <v>15.785123777777779</v>
      </c>
      <c r="H455" s="196">
        <f t="shared" ref="H455:AD455" si="173">H451</f>
        <v>16.303816139472978</v>
      </c>
      <c r="I455" s="196">
        <f t="shared" si="173"/>
        <v>16.833716284337211</v>
      </c>
      <c r="J455" s="196">
        <f t="shared" si="173"/>
        <v>17.374712761775061</v>
      </c>
      <c r="K455" s="196">
        <f t="shared" si="173"/>
        <v>17.926720692183444</v>
      </c>
      <c r="L455" s="196">
        <f t="shared" si="173"/>
        <v>18.489681250533941</v>
      </c>
      <c r="M455" s="196">
        <f t="shared" si="173"/>
        <v>19.063561189478971</v>
      </c>
      <c r="N455" s="196">
        <f>N451</f>
        <v>19.648352401041706</v>
      </c>
      <c r="O455" s="196">
        <f t="shared" si="173"/>
        <v>20.244071516004748</v>
      </c>
      <c r="P455" s="196">
        <f t="shared" si="173"/>
        <v>20.850759540166408</v>
      </c>
      <c r="Q455" s="196">
        <f t="shared" si="173"/>
        <v>21.468481526685636</v>
      </c>
      <c r="R455" s="196">
        <f t="shared" si="173"/>
        <v>22.097326283787538</v>
      </c>
      <c r="S455" s="196">
        <f t="shared" si="173"/>
        <v>22.676125460797422</v>
      </c>
      <c r="T455" s="196">
        <f t="shared" si="173"/>
        <v>23.267863514381194</v>
      </c>
      <c r="U455" s="196">
        <f t="shared" si="173"/>
        <v>23.872659141498069</v>
      </c>
      <c r="V455" s="196">
        <f t="shared" si="173"/>
        <v>24.490649572029049</v>
      </c>
      <c r="W455" s="196">
        <f t="shared" si="173"/>
        <v>25.121990409573073</v>
      </c>
      <c r="X455" s="196">
        <f t="shared" si="173"/>
        <v>25.766855495636491</v>
      </c>
      <c r="Y455" s="196">
        <f t="shared" si="173"/>
        <v>26.425436796763378</v>
      </c>
      <c r="Z455" s="196">
        <f t="shared" si="173"/>
        <v>27.097944314184907</v>
      </c>
      <c r="AA455" s="196">
        <f t="shared" si="173"/>
        <v>27.784606015596381</v>
      </c>
      <c r="AB455" s="196">
        <f t="shared" si="173"/>
        <v>28.485667788699828</v>
      </c>
      <c r="AC455" s="196">
        <f t="shared" si="173"/>
        <v>29.20139341617849</v>
      </c>
      <c r="AD455" s="196">
        <f t="shared" si="173"/>
        <v>29.932064571797632</v>
      </c>
    </row>
    <row r="456" spans="2:30" hidden="1" outlineLevel="1" x14ac:dyDescent="0.3">
      <c r="B456" s="165" t="s">
        <v>227</v>
      </c>
      <c r="G456" s="292">
        <f>SUM(G454:G455)</f>
        <v>365.78512377777776</v>
      </c>
      <c r="H456" s="292">
        <f t="shared" ref="H456:AD456" si="174">SUM(H454:H455)</f>
        <v>382.08893991725074</v>
      </c>
      <c r="I456" s="292">
        <f t="shared" si="174"/>
        <v>398.92265620158793</v>
      </c>
      <c r="J456" s="292">
        <f t="shared" si="174"/>
        <v>416.297368963363</v>
      </c>
      <c r="K456" s="292">
        <f t="shared" si="174"/>
        <v>434.22408965554644</v>
      </c>
      <c r="L456" s="292">
        <f t="shared" si="174"/>
        <v>452.71377090608036</v>
      </c>
      <c r="M456" s="292">
        <f t="shared" si="174"/>
        <v>471.7773320955593</v>
      </c>
      <c r="N456" s="292">
        <f>SUM(N454:N455)</f>
        <v>491.42568449660098</v>
      </c>
      <c r="O456" s="292">
        <f t="shared" si="174"/>
        <v>511.66975601260572</v>
      </c>
      <c r="P456" s="292">
        <f t="shared" si="174"/>
        <v>532.52051555277217</v>
      </c>
      <c r="Q456" s="292">
        <f t="shared" si="174"/>
        <v>553.98899707945782</v>
      </c>
      <c r="R456" s="292">
        <f t="shared" si="174"/>
        <v>576.08632336324536</v>
      </c>
      <c r="S456" s="292">
        <f t="shared" si="174"/>
        <v>598.76244882404274</v>
      </c>
      <c r="T456" s="292">
        <f t="shared" si="174"/>
        <v>622.03031233842398</v>
      </c>
      <c r="U456" s="292">
        <f t="shared" si="174"/>
        <v>645.90297147992203</v>
      </c>
      <c r="V456" s="292">
        <f t="shared" si="174"/>
        <v>670.39362105195107</v>
      </c>
      <c r="W456" s="292">
        <f t="shared" si="174"/>
        <v>695.51561146152414</v>
      </c>
      <c r="X456" s="292">
        <f t="shared" si="174"/>
        <v>721.28246695716064</v>
      </c>
      <c r="Y456" s="292">
        <f t="shared" si="174"/>
        <v>747.70790375392403</v>
      </c>
      <c r="Z456" s="292">
        <f t="shared" si="174"/>
        <v>774.80584806810896</v>
      </c>
      <c r="AA456" s="292">
        <f t="shared" si="174"/>
        <v>802.59045408370537</v>
      </c>
      <c r="AB456" s="292">
        <f t="shared" si="174"/>
        <v>831.07612187240522</v>
      </c>
      <c r="AC456" s="292">
        <f t="shared" si="174"/>
        <v>860.27751528858369</v>
      </c>
      <c r="AD456" s="292">
        <f t="shared" si="174"/>
        <v>890.20957986038127</v>
      </c>
    </row>
    <row r="457" spans="2:30" hidden="1" outlineLevel="1" x14ac:dyDescent="0.3"/>
    <row r="458" spans="2:30" hidden="1" outlineLevel="1" x14ac:dyDescent="0.3">
      <c r="B458" s="172" t="s">
        <v>228</v>
      </c>
    </row>
    <row r="459" spans="2:30" hidden="1" outlineLevel="1" x14ac:dyDescent="0.3">
      <c r="B459" s="165" t="s">
        <v>224</v>
      </c>
      <c r="G459" s="196">
        <f>G446</f>
        <v>918.264456</v>
      </c>
      <c r="H459" s="196">
        <f t="shared" ref="H459:AD459" si="175">H446</f>
        <v>936.93738102102725</v>
      </c>
      <c r="I459" s="196">
        <f t="shared" si="175"/>
        <v>956.01378623613959</v>
      </c>
      <c r="J459" s="196">
        <f t="shared" si="175"/>
        <v>975.48965942390225</v>
      </c>
      <c r="K459" s="196">
        <f t="shared" si="175"/>
        <v>995.36194491860408</v>
      </c>
      <c r="L459" s="196">
        <f t="shared" si="175"/>
        <v>1015.6285250192219</v>
      </c>
      <c r="M459" s="196">
        <f t="shared" si="175"/>
        <v>1036.288202821243</v>
      </c>
      <c r="N459" s="196">
        <f>N446</f>
        <v>1057.3406864375015</v>
      </c>
      <c r="O459" s="196">
        <f t="shared" si="175"/>
        <v>1078.786574576171</v>
      </c>
      <c r="P459" s="196">
        <f t="shared" si="175"/>
        <v>1100.6273434459908</v>
      </c>
      <c r="Q459" s="196">
        <f t="shared" si="175"/>
        <v>1122.865334960683</v>
      </c>
      <c r="R459" s="196">
        <f t="shared" si="175"/>
        <v>1145.5037462163514</v>
      </c>
      <c r="S459" s="196">
        <f t="shared" si="175"/>
        <v>1166.3405165887073</v>
      </c>
      <c r="T459" s="196">
        <f t="shared" si="175"/>
        <v>1187.6430865177231</v>
      </c>
      <c r="U459" s="196">
        <f t="shared" si="175"/>
        <v>1209.4157290939306</v>
      </c>
      <c r="V459" s="196">
        <f t="shared" si="175"/>
        <v>1231.663384593046</v>
      </c>
      <c r="W459" s="196">
        <f t="shared" si="175"/>
        <v>1254.3916547446306</v>
      </c>
      <c r="X459" s="196">
        <f t="shared" si="175"/>
        <v>1277.6067978429137</v>
      </c>
      <c r="Y459" s="196">
        <f t="shared" si="175"/>
        <v>1301.3157246834817</v>
      </c>
      <c r="Z459" s="196">
        <f t="shared" si="175"/>
        <v>1325.5259953106565</v>
      </c>
      <c r="AA459" s="196">
        <f t="shared" si="175"/>
        <v>1350.2458165614696</v>
      </c>
      <c r="AB459" s="196">
        <f t="shared" si="175"/>
        <v>1375.4840403931937</v>
      </c>
      <c r="AC459" s="196">
        <f t="shared" si="175"/>
        <v>1401.2501629824255</v>
      </c>
      <c r="AD459" s="196">
        <f t="shared" si="175"/>
        <v>1427.5543245847148</v>
      </c>
    </row>
    <row r="460" spans="2:30" hidden="1" outlineLevel="1" x14ac:dyDescent="0.3">
      <c r="B460" s="165" t="s">
        <v>264</v>
      </c>
      <c r="G460" s="196">
        <f>G456</f>
        <v>365.78512377777776</v>
      </c>
      <c r="H460" s="196">
        <f t="shared" ref="H460:AC460" si="176">H456</f>
        <v>382.08893991725074</v>
      </c>
      <c r="I460" s="196">
        <f t="shared" si="176"/>
        <v>398.92265620158793</v>
      </c>
      <c r="J460" s="196">
        <f t="shared" si="176"/>
        <v>416.297368963363</v>
      </c>
      <c r="K460" s="196">
        <f t="shared" si="176"/>
        <v>434.22408965554644</v>
      </c>
      <c r="L460" s="196">
        <f t="shared" si="176"/>
        <v>452.71377090608036</v>
      </c>
      <c r="M460" s="196">
        <f t="shared" si="176"/>
        <v>471.7773320955593</v>
      </c>
      <c r="N460" s="196">
        <f>N456</f>
        <v>491.42568449660098</v>
      </c>
      <c r="O460" s="196">
        <f t="shared" si="176"/>
        <v>511.66975601260572</v>
      </c>
      <c r="P460" s="196">
        <f t="shared" si="176"/>
        <v>532.52051555277217</v>
      </c>
      <c r="Q460" s="196">
        <f t="shared" si="176"/>
        <v>553.98899707945782</v>
      </c>
      <c r="R460" s="196">
        <f t="shared" si="176"/>
        <v>576.08632336324536</v>
      </c>
      <c r="S460" s="196">
        <f t="shared" si="176"/>
        <v>598.76244882404274</v>
      </c>
      <c r="T460" s="196">
        <f t="shared" si="176"/>
        <v>622.03031233842398</v>
      </c>
      <c r="U460" s="196">
        <f t="shared" si="176"/>
        <v>645.90297147992203</v>
      </c>
      <c r="V460" s="196">
        <f t="shared" si="176"/>
        <v>670.39362105195107</v>
      </c>
      <c r="W460" s="196">
        <f t="shared" si="176"/>
        <v>695.51561146152414</v>
      </c>
      <c r="X460" s="196">
        <f t="shared" si="176"/>
        <v>721.28246695716064</v>
      </c>
      <c r="Y460" s="196">
        <f t="shared" si="176"/>
        <v>747.70790375392403</v>
      </c>
      <c r="Z460" s="196">
        <f t="shared" si="176"/>
        <v>774.80584806810896</v>
      </c>
      <c r="AA460" s="196">
        <f t="shared" si="176"/>
        <v>802.59045408370537</v>
      </c>
      <c r="AB460" s="196">
        <f t="shared" si="176"/>
        <v>831.07612187240522</v>
      </c>
      <c r="AC460" s="196">
        <f t="shared" si="176"/>
        <v>860.27751528858369</v>
      </c>
      <c r="AD460" s="196">
        <f>AD456</f>
        <v>890.20957986038127</v>
      </c>
    </row>
    <row r="461" spans="2:30" hidden="1" outlineLevel="1" x14ac:dyDescent="0.3">
      <c r="B461" s="165" t="s">
        <v>268</v>
      </c>
      <c r="G461" s="292">
        <f>G459-G460</f>
        <v>552.47933222222218</v>
      </c>
      <c r="H461" s="292">
        <f t="shared" ref="H461:AD461" si="177">H459-H460</f>
        <v>554.84844110377651</v>
      </c>
      <c r="I461" s="292">
        <f t="shared" si="177"/>
        <v>557.09113003455172</v>
      </c>
      <c r="J461" s="292">
        <f t="shared" si="177"/>
        <v>559.1922904605392</v>
      </c>
      <c r="K461" s="292">
        <f t="shared" si="177"/>
        <v>561.13785526305765</v>
      </c>
      <c r="L461" s="292">
        <f t="shared" si="177"/>
        <v>562.9147541131415</v>
      </c>
      <c r="M461" s="292">
        <f t="shared" si="177"/>
        <v>564.51087072568362</v>
      </c>
      <c r="N461" s="292">
        <f>N459-N460</f>
        <v>565.91500194090054</v>
      </c>
      <c r="O461" s="292">
        <f t="shared" si="177"/>
        <v>567.11681856356529</v>
      </c>
      <c r="P461" s="292">
        <f t="shared" si="177"/>
        <v>568.10682789321868</v>
      </c>
      <c r="Q461" s="292">
        <f t="shared" si="177"/>
        <v>568.87633788122514</v>
      </c>
      <c r="R461" s="292">
        <f t="shared" si="177"/>
        <v>569.41742285310602</v>
      </c>
      <c r="S461" s="292">
        <f t="shared" si="177"/>
        <v>567.57806776466452</v>
      </c>
      <c r="T461" s="292">
        <f t="shared" si="177"/>
        <v>565.61277417929909</v>
      </c>
      <c r="U461" s="292">
        <f t="shared" si="177"/>
        <v>563.51275761400859</v>
      </c>
      <c r="V461" s="292">
        <f t="shared" si="177"/>
        <v>561.2697635410949</v>
      </c>
      <c r="W461" s="292">
        <f t="shared" si="177"/>
        <v>558.87604328310647</v>
      </c>
      <c r="X461" s="292">
        <f t="shared" si="177"/>
        <v>556.32433088575306</v>
      </c>
      <c r="Y461" s="292">
        <f t="shared" si="177"/>
        <v>553.60782092955765</v>
      </c>
      <c r="Z461" s="292">
        <f t="shared" si="177"/>
        <v>550.72014724254757</v>
      </c>
      <c r="AA461" s="292">
        <f t="shared" si="177"/>
        <v>547.65536247776424</v>
      </c>
      <c r="AB461" s="292">
        <f t="shared" si="177"/>
        <v>544.40791852078848</v>
      </c>
      <c r="AC461" s="292">
        <f t="shared" si="177"/>
        <v>540.97264769384185</v>
      </c>
      <c r="AD461" s="292">
        <f t="shared" si="177"/>
        <v>537.34474472433351</v>
      </c>
    </row>
    <row r="462" spans="2:30" hidden="1" outlineLevel="1" x14ac:dyDescent="0.3"/>
    <row r="463" spans="2:30" hidden="1" outlineLevel="1" x14ac:dyDescent="0.3">
      <c r="B463" s="172" t="s">
        <v>324</v>
      </c>
    </row>
    <row r="464" spans="2:30" hidden="1" outlineLevel="1" x14ac:dyDescent="0.3">
      <c r="B464" s="165" t="s">
        <v>327</v>
      </c>
      <c r="G464" s="289">
        <f>IF(G446-G456=G461,0,1)</f>
        <v>0</v>
      </c>
      <c r="H464" s="289">
        <f t="shared" ref="H464:AD464" si="178">IF(H446-H456=H461,0,1)</f>
        <v>0</v>
      </c>
      <c r="I464" s="289">
        <f t="shared" si="178"/>
        <v>0</v>
      </c>
      <c r="J464" s="289">
        <f t="shared" si="178"/>
        <v>0</v>
      </c>
      <c r="K464" s="289">
        <f t="shared" si="178"/>
        <v>0</v>
      </c>
      <c r="L464" s="289">
        <f t="shared" si="178"/>
        <v>0</v>
      </c>
      <c r="M464" s="289">
        <f t="shared" si="178"/>
        <v>0</v>
      </c>
      <c r="N464" s="289">
        <f t="shared" si="178"/>
        <v>0</v>
      </c>
      <c r="O464" s="289">
        <f t="shared" si="178"/>
        <v>0</v>
      </c>
      <c r="P464" s="289">
        <f t="shared" si="178"/>
        <v>0</v>
      </c>
      <c r="Q464" s="289">
        <f t="shared" si="178"/>
        <v>0</v>
      </c>
      <c r="R464" s="289">
        <f t="shared" si="178"/>
        <v>0</v>
      </c>
      <c r="S464" s="289">
        <f t="shared" si="178"/>
        <v>0</v>
      </c>
      <c r="T464" s="289">
        <f t="shared" si="178"/>
        <v>0</v>
      </c>
      <c r="U464" s="289">
        <f t="shared" si="178"/>
        <v>0</v>
      </c>
      <c r="V464" s="289">
        <f t="shared" si="178"/>
        <v>0</v>
      </c>
      <c r="W464" s="289">
        <f t="shared" si="178"/>
        <v>0</v>
      </c>
      <c r="X464" s="289">
        <f t="shared" si="178"/>
        <v>0</v>
      </c>
      <c r="Y464" s="289">
        <f t="shared" si="178"/>
        <v>0</v>
      </c>
      <c r="Z464" s="289">
        <f t="shared" si="178"/>
        <v>0</v>
      </c>
      <c r="AA464" s="289">
        <f t="shared" si="178"/>
        <v>0</v>
      </c>
      <c r="AB464" s="289">
        <f t="shared" si="178"/>
        <v>0</v>
      </c>
      <c r="AC464" s="289">
        <f t="shared" si="178"/>
        <v>0</v>
      </c>
      <c r="AD464" s="289">
        <f t="shared" si="178"/>
        <v>0</v>
      </c>
    </row>
    <row r="465" spans="1:30" hidden="1" outlineLevel="1" x14ac:dyDescent="0.3"/>
    <row r="466" spans="1:30" hidden="1" outlineLevel="1" x14ac:dyDescent="0.3"/>
    <row r="467" spans="1:30" collapsed="1" x14ac:dyDescent="0.3"/>
    <row r="468" spans="1:30" ht="21" x14ac:dyDescent="0.3">
      <c r="A468" s="149" t="s">
        <v>33</v>
      </c>
      <c r="B468" s="152" t="s">
        <v>220</v>
      </c>
      <c r="C468" s="153"/>
      <c r="D468" s="153"/>
      <c r="E468" s="153"/>
      <c r="F468" s="153"/>
      <c r="G468" s="153"/>
      <c r="H468" s="153"/>
      <c r="I468" s="153"/>
      <c r="J468" s="153"/>
      <c r="K468" s="153"/>
      <c r="L468" s="153"/>
      <c r="M468" s="153"/>
      <c r="N468" s="153"/>
      <c r="O468" s="153"/>
      <c r="P468" s="153"/>
      <c r="Q468" s="153"/>
      <c r="R468" s="153"/>
      <c r="S468" s="153"/>
      <c r="T468" s="153"/>
      <c r="U468" s="153"/>
      <c r="V468" s="153"/>
      <c r="W468" s="153"/>
      <c r="X468" s="153"/>
      <c r="Y468" s="153"/>
      <c r="Z468" s="153"/>
      <c r="AA468" s="153"/>
      <c r="AB468" s="153"/>
      <c r="AC468" s="153"/>
      <c r="AD468" s="153"/>
    </row>
    <row r="469" spans="1:30" hidden="1" outlineLevel="1" x14ac:dyDescent="0.3">
      <c r="B469" s="165"/>
    </row>
    <row r="470" spans="1:30" hidden="1" outlineLevel="1" x14ac:dyDescent="0.3">
      <c r="B470" s="155" t="s">
        <v>24</v>
      </c>
      <c r="G470" s="156">
        <f>G$5</f>
        <v>2026</v>
      </c>
      <c r="H470" s="157">
        <f t="shared" ref="H470:AD470" si="179">H$5</f>
        <v>2026</v>
      </c>
      <c r="I470" s="158">
        <f t="shared" si="179"/>
        <v>2026</v>
      </c>
      <c r="J470" s="157">
        <f t="shared" si="179"/>
        <v>2026</v>
      </c>
      <c r="K470" s="157">
        <f t="shared" si="179"/>
        <v>2026</v>
      </c>
      <c r="L470" s="158">
        <f t="shared" si="179"/>
        <v>2026</v>
      </c>
      <c r="M470" s="157">
        <f t="shared" si="179"/>
        <v>2026</v>
      </c>
      <c r="N470" s="157">
        <f t="shared" si="179"/>
        <v>2026</v>
      </c>
      <c r="O470" s="158">
        <f t="shared" si="179"/>
        <v>2026</v>
      </c>
      <c r="P470" s="157">
        <f t="shared" si="179"/>
        <v>2026</v>
      </c>
      <c r="Q470" s="157">
        <f t="shared" si="179"/>
        <v>2026</v>
      </c>
      <c r="R470" s="159">
        <f t="shared" si="179"/>
        <v>2026</v>
      </c>
      <c r="S470" s="157">
        <f t="shared" si="179"/>
        <v>2027</v>
      </c>
      <c r="T470" s="157">
        <f t="shared" si="179"/>
        <v>2027</v>
      </c>
      <c r="U470" s="158">
        <f t="shared" si="179"/>
        <v>2027</v>
      </c>
      <c r="V470" s="157">
        <f t="shared" si="179"/>
        <v>2027</v>
      </c>
      <c r="W470" s="157">
        <f t="shared" si="179"/>
        <v>2027</v>
      </c>
      <c r="X470" s="158">
        <f t="shared" si="179"/>
        <v>2027</v>
      </c>
      <c r="Y470" s="157">
        <f t="shared" si="179"/>
        <v>2027</v>
      </c>
      <c r="Z470" s="157">
        <f t="shared" si="179"/>
        <v>2027</v>
      </c>
      <c r="AA470" s="158">
        <f t="shared" si="179"/>
        <v>2027</v>
      </c>
      <c r="AB470" s="157">
        <f t="shared" si="179"/>
        <v>2027</v>
      </c>
      <c r="AC470" s="157">
        <f t="shared" si="179"/>
        <v>2027</v>
      </c>
      <c r="AD470" s="159">
        <f t="shared" si="179"/>
        <v>2027</v>
      </c>
    </row>
    <row r="471" spans="1:30" hidden="1" outlineLevel="1" x14ac:dyDescent="0.3">
      <c r="B471" s="155" t="str" cm="1">
        <f t="array" ref="B471">CONCATENATE("Model Running: ",INDEX(Inputs!$B$15:$B$17,Inputs!$D$8)," Drivers")</f>
        <v>Model Running: Base Case Drivers</v>
      </c>
      <c r="G471" s="161">
        <f>G$6</f>
        <v>1</v>
      </c>
      <c r="H471" s="162">
        <f t="shared" ref="H471:AD471" si="180">H$6</f>
        <v>1</v>
      </c>
      <c r="I471" s="163">
        <f t="shared" si="180"/>
        <v>1</v>
      </c>
      <c r="J471" s="162">
        <f t="shared" si="180"/>
        <v>2</v>
      </c>
      <c r="K471" s="162">
        <f t="shared" si="180"/>
        <v>2</v>
      </c>
      <c r="L471" s="163">
        <f t="shared" si="180"/>
        <v>2</v>
      </c>
      <c r="M471" s="162">
        <f t="shared" si="180"/>
        <v>3</v>
      </c>
      <c r="N471" s="162">
        <f t="shared" si="180"/>
        <v>3</v>
      </c>
      <c r="O471" s="163">
        <f t="shared" si="180"/>
        <v>3</v>
      </c>
      <c r="P471" s="162">
        <f t="shared" si="180"/>
        <v>4</v>
      </c>
      <c r="Q471" s="162">
        <f t="shared" si="180"/>
        <v>4</v>
      </c>
      <c r="R471" s="164">
        <f t="shared" si="180"/>
        <v>4</v>
      </c>
      <c r="S471" s="162">
        <f t="shared" si="180"/>
        <v>1</v>
      </c>
      <c r="T471" s="162">
        <f t="shared" si="180"/>
        <v>1</v>
      </c>
      <c r="U471" s="163">
        <f t="shared" si="180"/>
        <v>1</v>
      </c>
      <c r="V471" s="162">
        <f t="shared" si="180"/>
        <v>2</v>
      </c>
      <c r="W471" s="162">
        <f t="shared" si="180"/>
        <v>2</v>
      </c>
      <c r="X471" s="163">
        <f t="shared" si="180"/>
        <v>2</v>
      </c>
      <c r="Y471" s="162">
        <f t="shared" si="180"/>
        <v>3</v>
      </c>
      <c r="Z471" s="162">
        <f t="shared" si="180"/>
        <v>3</v>
      </c>
      <c r="AA471" s="163">
        <f t="shared" si="180"/>
        <v>3</v>
      </c>
      <c r="AB471" s="162">
        <f t="shared" si="180"/>
        <v>4</v>
      </c>
      <c r="AC471" s="162">
        <f t="shared" si="180"/>
        <v>4</v>
      </c>
      <c r="AD471" s="164">
        <f t="shared" si="180"/>
        <v>4</v>
      </c>
    </row>
    <row r="472" spans="1:30" hidden="1" outlineLevel="1" x14ac:dyDescent="0.3">
      <c r="G472" s="166">
        <f>G$7</f>
        <v>46053</v>
      </c>
      <c r="H472" s="167">
        <f t="shared" ref="H472:AD472" si="181">H$7</f>
        <v>46081</v>
      </c>
      <c r="I472" s="168">
        <f t="shared" si="181"/>
        <v>46112</v>
      </c>
      <c r="J472" s="167">
        <f t="shared" si="181"/>
        <v>46142</v>
      </c>
      <c r="K472" s="167">
        <f t="shared" si="181"/>
        <v>46173</v>
      </c>
      <c r="L472" s="168">
        <f t="shared" si="181"/>
        <v>46203</v>
      </c>
      <c r="M472" s="167">
        <f t="shared" si="181"/>
        <v>46234</v>
      </c>
      <c r="N472" s="167">
        <f t="shared" si="181"/>
        <v>46265</v>
      </c>
      <c r="O472" s="168">
        <f t="shared" si="181"/>
        <v>46295</v>
      </c>
      <c r="P472" s="167">
        <f t="shared" si="181"/>
        <v>46326</v>
      </c>
      <c r="Q472" s="167">
        <f t="shared" si="181"/>
        <v>46356</v>
      </c>
      <c r="R472" s="169">
        <f t="shared" si="181"/>
        <v>46387</v>
      </c>
      <c r="S472" s="167">
        <f t="shared" si="181"/>
        <v>46418</v>
      </c>
      <c r="T472" s="167">
        <f t="shared" si="181"/>
        <v>46446</v>
      </c>
      <c r="U472" s="168">
        <f t="shared" si="181"/>
        <v>46477</v>
      </c>
      <c r="V472" s="167">
        <f t="shared" si="181"/>
        <v>46507</v>
      </c>
      <c r="W472" s="167">
        <f t="shared" si="181"/>
        <v>46538</v>
      </c>
      <c r="X472" s="168">
        <f t="shared" si="181"/>
        <v>46568</v>
      </c>
      <c r="Y472" s="167">
        <f t="shared" si="181"/>
        <v>46599</v>
      </c>
      <c r="Z472" s="167">
        <f t="shared" si="181"/>
        <v>46630</v>
      </c>
      <c r="AA472" s="168">
        <f t="shared" si="181"/>
        <v>46660</v>
      </c>
      <c r="AB472" s="167">
        <f t="shared" si="181"/>
        <v>46691</v>
      </c>
      <c r="AC472" s="167">
        <f t="shared" si="181"/>
        <v>46721</v>
      </c>
      <c r="AD472" s="169">
        <f t="shared" si="181"/>
        <v>46752</v>
      </c>
    </row>
    <row r="473" spans="1:30" hidden="1" outlineLevel="1" x14ac:dyDescent="0.3">
      <c r="G473" s="278"/>
      <c r="H473" s="278"/>
      <c r="I473" s="278"/>
      <c r="J473" s="278"/>
      <c r="K473" s="278"/>
      <c r="L473" s="278"/>
      <c r="M473" s="278"/>
      <c r="N473" s="278"/>
      <c r="O473" s="278"/>
      <c r="P473" s="278"/>
      <c r="Q473" s="278"/>
      <c r="R473" s="278"/>
      <c r="S473" s="278"/>
      <c r="T473" s="278"/>
      <c r="U473" s="278"/>
      <c r="V473" s="278"/>
      <c r="W473" s="278"/>
      <c r="X473" s="278"/>
      <c r="Y473" s="278"/>
      <c r="Z473" s="278"/>
      <c r="AA473" s="278"/>
      <c r="AB473" s="278"/>
      <c r="AC473" s="278"/>
      <c r="AD473" s="278"/>
    </row>
    <row r="474" spans="1:30" hidden="1" outlineLevel="1" x14ac:dyDescent="0.3">
      <c r="G474" s="278"/>
      <c r="H474" s="278"/>
      <c r="I474" s="278"/>
      <c r="J474" s="278"/>
      <c r="K474" s="278"/>
      <c r="L474" s="278"/>
      <c r="M474" s="278"/>
      <c r="N474" s="278"/>
      <c r="O474" s="278"/>
      <c r="P474" s="278"/>
      <c r="Q474" s="278"/>
      <c r="R474" s="278"/>
      <c r="S474" s="278"/>
      <c r="T474" s="278"/>
      <c r="U474" s="278"/>
      <c r="V474" s="278"/>
      <c r="W474" s="278"/>
      <c r="X474" s="278"/>
      <c r="Y474" s="278"/>
      <c r="Z474" s="278"/>
      <c r="AA474" s="278"/>
      <c r="AB474" s="278"/>
      <c r="AC474" s="278"/>
      <c r="AD474" s="278"/>
    </row>
    <row r="475" spans="1:30" hidden="1" outlineLevel="1" x14ac:dyDescent="0.3">
      <c r="B475" s="172" t="s">
        <v>233</v>
      </c>
      <c r="G475" s="278"/>
      <c r="H475" s="278"/>
      <c r="I475" s="278"/>
      <c r="J475" s="278"/>
      <c r="K475" s="278"/>
      <c r="L475" s="278"/>
      <c r="M475" s="278"/>
      <c r="N475" s="278"/>
      <c r="O475" s="278"/>
      <c r="P475" s="278"/>
      <c r="Q475" s="278"/>
      <c r="R475" s="278"/>
      <c r="S475" s="278"/>
      <c r="T475" s="278"/>
      <c r="U475" s="278"/>
      <c r="V475" s="278"/>
      <c r="W475" s="278"/>
      <c r="X475" s="278"/>
      <c r="Y475" s="278"/>
      <c r="Z475" s="278"/>
      <c r="AA475" s="278"/>
      <c r="AB475" s="278"/>
      <c r="AC475" s="278"/>
      <c r="AD475" s="278"/>
    </row>
    <row r="476" spans="1:30" hidden="1" outlineLevel="1" x14ac:dyDescent="0.3">
      <c r="B476" s="174" t="s">
        <v>168</v>
      </c>
      <c r="G476" s="196">
        <f t="shared" ref="G476:AD476" si="182">G38</f>
        <v>-51.522769111111188</v>
      </c>
      <c r="H476" s="196">
        <f t="shared" ca="1" si="182"/>
        <v>-57.458597234673945</v>
      </c>
      <c r="I476" s="196">
        <f t="shared" ca="1" si="182"/>
        <v>-63.599442433502929</v>
      </c>
      <c r="J476" s="196">
        <f t="shared" ca="1" si="182"/>
        <v>-69.907749253791664</v>
      </c>
      <c r="K476" s="196">
        <f t="shared" ca="1" si="182"/>
        <v>-76.349518158764056</v>
      </c>
      <c r="L476" s="196">
        <f t="shared" ca="1" si="182"/>
        <v>-82.891372617321792</v>
      </c>
      <c r="M476" s="196">
        <f t="shared" ca="1" si="182"/>
        <v>-89.500508910829154</v>
      </c>
      <c r="N476" s="196">
        <f t="shared" ca="1" si="182"/>
        <v>-96.144647089434258</v>
      </c>
      <c r="O476" s="196">
        <f t="shared" ca="1" si="182"/>
        <v>-102.79198300815088</v>
      </c>
      <c r="P476" s="196">
        <f t="shared" ca="1" si="182"/>
        <v>-109.41114137479377</v>
      </c>
      <c r="Q476" s="196">
        <f t="shared" ca="1" si="182"/>
        <v>-115.97112974359814</v>
      </c>
      <c r="R476" s="196">
        <f t="shared" ca="1" si="182"/>
        <v>-122.44129339002633</v>
      </c>
      <c r="S476" s="196">
        <f t="shared" ca="1" si="182"/>
        <v>-117.45865599081961</v>
      </c>
      <c r="T476" s="196">
        <f t="shared" ca="1" si="182"/>
        <v>-107.26808076735293</v>
      </c>
      <c r="U476" s="196">
        <f t="shared" ca="1" si="182"/>
        <v>-96.942710830551249</v>
      </c>
      <c r="V476" s="196">
        <f t="shared" ca="1" si="182"/>
        <v>-86.306194549076793</v>
      </c>
      <c r="W476" s="196">
        <f t="shared" ca="1" si="182"/>
        <v>-75.329729601744887</v>
      </c>
      <c r="X476" s="196">
        <f t="shared" ca="1" si="182"/>
        <v>-63.984362419506439</v>
      </c>
      <c r="Y476" s="196">
        <f t="shared" ca="1" si="182"/>
        <v>-52.240972292282457</v>
      </c>
      <c r="Z476" s="196">
        <f t="shared" ca="1" si="182"/>
        <v>-40.07024017965697</v>
      </c>
      <c r="AA476" s="196">
        <f t="shared" ca="1" si="182"/>
        <v>-27.442617516520802</v>
      </c>
      <c r="AB476" s="196">
        <f t="shared" ca="1" si="182"/>
        <v>-14.32829498096882</v>
      </c>
      <c r="AC476" s="196">
        <f t="shared" ca="1" si="182"/>
        <v>-3.5600737018103468</v>
      </c>
      <c r="AD476" s="196">
        <f t="shared" ca="1" si="182"/>
        <v>5.667872758594676</v>
      </c>
    </row>
    <row r="477" spans="1:30" hidden="1" outlineLevel="1" x14ac:dyDescent="0.3">
      <c r="B477" s="165" t="s">
        <v>230</v>
      </c>
      <c r="G477" s="196">
        <f t="shared" ref="G477:AD477" ca="1" si="183">G331</f>
        <v>0</v>
      </c>
      <c r="H477" s="196">
        <f t="shared" ca="1" si="183"/>
        <v>0</v>
      </c>
      <c r="I477" s="196">
        <f t="shared" ca="1" si="183"/>
        <v>0</v>
      </c>
      <c r="J477" s="196">
        <f t="shared" ca="1" si="183"/>
        <v>0</v>
      </c>
      <c r="K477" s="196">
        <f t="shared" ca="1" si="183"/>
        <v>0</v>
      </c>
      <c r="L477" s="196">
        <f t="shared" ca="1" si="183"/>
        <v>0</v>
      </c>
      <c r="M477" s="196">
        <f t="shared" ca="1" si="183"/>
        <v>0</v>
      </c>
      <c r="N477" s="196">
        <f t="shared" ca="1" si="183"/>
        <v>0</v>
      </c>
      <c r="O477" s="196">
        <f t="shared" ca="1" si="183"/>
        <v>0</v>
      </c>
      <c r="P477" s="196">
        <f t="shared" ca="1" si="183"/>
        <v>0</v>
      </c>
      <c r="Q477" s="196">
        <f t="shared" ca="1" si="183"/>
        <v>0</v>
      </c>
      <c r="R477" s="196">
        <f t="shared" ca="1" si="183"/>
        <v>0</v>
      </c>
      <c r="S477" s="196">
        <f t="shared" ca="1" si="183"/>
        <v>0</v>
      </c>
      <c r="T477" s="196">
        <f t="shared" ca="1" si="183"/>
        <v>0</v>
      </c>
      <c r="U477" s="196">
        <f t="shared" ca="1" si="183"/>
        <v>0</v>
      </c>
      <c r="V477" s="196">
        <f t="shared" ca="1" si="183"/>
        <v>0</v>
      </c>
      <c r="W477" s="196">
        <f t="shared" ca="1" si="183"/>
        <v>0</v>
      </c>
      <c r="X477" s="196">
        <f t="shared" ca="1" si="183"/>
        <v>0</v>
      </c>
      <c r="Y477" s="196">
        <f t="shared" ca="1" si="183"/>
        <v>0</v>
      </c>
      <c r="Z477" s="196">
        <f t="shared" ca="1" si="183"/>
        <v>0</v>
      </c>
      <c r="AA477" s="196">
        <f t="shared" ca="1" si="183"/>
        <v>0</v>
      </c>
      <c r="AB477" s="196">
        <f t="shared" ca="1" si="183"/>
        <v>0</v>
      </c>
      <c r="AC477" s="196">
        <f t="shared" ca="1" si="183"/>
        <v>0</v>
      </c>
      <c r="AD477" s="196">
        <f t="shared" ca="1" si="183"/>
        <v>0</v>
      </c>
    </row>
    <row r="478" spans="1:30" hidden="1" outlineLevel="1" x14ac:dyDescent="0.3">
      <c r="B478" s="165" t="s">
        <v>172</v>
      </c>
      <c r="G478" s="196">
        <f>Inputs!$E$211</f>
        <v>0</v>
      </c>
      <c r="H478" s="196">
        <f>Inputs!$E$211</f>
        <v>0</v>
      </c>
      <c r="I478" s="196">
        <f>Inputs!$E$211</f>
        <v>0</v>
      </c>
      <c r="J478" s="196">
        <f>Inputs!$E$211</f>
        <v>0</v>
      </c>
      <c r="K478" s="196">
        <f>Inputs!$E$211</f>
        <v>0</v>
      </c>
      <c r="L478" s="196">
        <f>Inputs!$E$211</f>
        <v>0</v>
      </c>
      <c r="M478" s="196">
        <f>Inputs!$E$211</f>
        <v>0</v>
      </c>
      <c r="N478" s="196">
        <f>Inputs!$E$211</f>
        <v>0</v>
      </c>
      <c r="O478" s="196">
        <f>Inputs!$E$211</f>
        <v>0</v>
      </c>
      <c r="P478" s="196">
        <f>Inputs!$E$211</f>
        <v>0</v>
      </c>
      <c r="Q478" s="196">
        <f>Inputs!$E$211</f>
        <v>0</v>
      </c>
      <c r="R478" s="196">
        <f>Inputs!$E$211</f>
        <v>0</v>
      </c>
      <c r="S478" s="196">
        <f>Inputs!$E$211</f>
        <v>0</v>
      </c>
      <c r="T478" s="196">
        <f>Inputs!$E$211</f>
        <v>0</v>
      </c>
      <c r="U478" s="196">
        <f>Inputs!$E$211</f>
        <v>0</v>
      </c>
      <c r="V478" s="196">
        <f>Inputs!$E$211</f>
        <v>0</v>
      </c>
      <c r="W478" s="196">
        <f>Inputs!$E$211</f>
        <v>0</v>
      </c>
      <c r="X478" s="196">
        <f>Inputs!$E$211</f>
        <v>0</v>
      </c>
      <c r="Y478" s="196">
        <f>Inputs!$E$211</f>
        <v>0</v>
      </c>
      <c r="Z478" s="196">
        <f>Inputs!$E$211</f>
        <v>0</v>
      </c>
      <c r="AA478" s="196">
        <f>Inputs!$E$211</f>
        <v>0</v>
      </c>
      <c r="AB478" s="196">
        <f>Inputs!$E$211</f>
        <v>0</v>
      </c>
      <c r="AC478" s="196">
        <f>Inputs!$E$211</f>
        <v>0</v>
      </c>
      <c r="AD478" s="196">
        <f>Inputs!$E$211</f>
        <v>0</v>
      </c>
    </row>
    <row r="479" spans="1:30" hidden="1" outlineLevel="1" x14ac:dyDescent="0.3">
      <c r="G479" s="278"/>
      <c r="H479" s="278"/>
      <c r="I479" s="278"/>
      <c r="J479" s="278"/>
      <c r="K479" s="278"/>
      <c r="L479" s="278"/>
      <c r="M479" s="278"/>
      <c r="N479" s="278"/>
      <c r="O479" s="278"/>
      <c r="P479" s="278"/>
      <c r="Q479" s="278"/>
      <c r="R479" s="278"/>
      <c r="S479" s="278"/>
      <c r="T479" s="278"/>
      <c r="U479" s="278"/>
      <c r="V479" s="278"/>
      <c r="W479" s="278"/>
      <c r="X479" s="278"/>
      <c r="Y479" s="278"/>
      <c r="Z479" s="278"/>
      <c r="AA479" s="278"/>
      <c r="AB479" s="278"/>
      <c r="AC479" s="278"/>
      <c r="AD479" s="278"/>
    </row>
    <row r="480" spans="1:30" hidden="1" outlineLevel="1" x14ac:dyDescent="0.3">
      <c r="B480" s="172" t="s">
        <v>193</v>
      </c>
    </row>
    <row r="481" spans="2:30" hidden="1" outlineLevel="1" x14ac:dyDescent="0.3">
      <c r="B481" s="165" t="s">
        <v>229</v>
      </c>
      <c r="G481" s="196">
        <f>IF(Inputs!E198&gt;0,Inputs!E198,'Operational Model'!F483)</f>
        <v>8000</v>
      </c>
      <c r="H481" s="196">
        <f ca="1">IF(Inputs!F198&gt;0,Inputs!F198,'Operational Model'!G483)</f>
        <v>8000</v>
      </c>
      <c r="I481" s="196">
        <f ca="1">IF(Inputs!G198&gt;0,Inputs!G198,'Operational Model'!H483)</f>
        <v>8000</v>
      </c>
      <c r="J481" s="196">
        <f ca="1">IF(Inputs!H198&gt;0,Inputs!H198,'Operational Model'!I483)</f>
        <v>8000</v>
      </c>
      <c r="K481" s="196">
        <f ca="1">IF(Inputs!I198&gt;0,Inputs!I198,'Operational Model'!J483)</f>
        <v>8000</v>
      </c>
      <c r="L481" s="196">
        <f ca="1">IF(Inputs!J198&gt;0,Inputs!J198,'Operational Model'!K483)</f>
        <v>8000</v>
      </c>
      <c r="M481" s="196">
        <f ca="1">IF(Inputs!K198&gt;0,Inputs!K198,'Operational Model'!L483)</f>
        <v>8000</v>
      </c>
      <c r="N481" s="196">
        <f ca="1">IF(Inputs!L198&gt;0,Inputs!L198,'Operational Model'!M483)</f>
        <v>8000</v>
      </c>
      <c r="O481" s="196">
        <f ca="1">IF(Inputs!M198&gt;0,Inputs!M198,'Operational Model'!N483)</f>
        <v>8000</v>
      </c>
      <c r="P481" s="196">
        <f ca="1">IF(Inputs!N198&gt;0,Inputs!N198,'Operational Model'!O483)</f>
        <v>8000</v>
      </c>
      <c r="Q481" s="196">
        <f ca="1">IF(Inputs!O198&gt;0,Inputs!O198,'Operational Model'!P483)</f>
        <v>8000</v>
      </c>
      <c r="R481" s="196">
        <f ca="1">IF(Inputs!P198&gt;0,Inputs!P198,'Operational Model'!Q483)</f>
        <v>8000</v>
      </c>
      <c r="S481" s="196">
        <f ca="1">IF(Inputs!Q198&gt;0,Inputs!Q198,'Operational Model'!R483)</f>
        <v>8000</v>
      </c>
      <c r="T481" s="196">
        <f ca="1">IF(Inputs!R198&gt;0,Inputs!R198,'Operational Model'!S483)</f>
        <v>8000</v>
      </c>
      <c r="U481" s="196">
        <f ca="1">IF(Inputs!S198&gt;0,Inputs!S198,'Operational Model'!T483)</f>
        <v>8000</v>
      </c>
      <c r="V481" s="196">
        <f ca="1">IF(Inputs!T198&gt;0,Inputs!T198,'Operational Model'!U483)</f>
        <v>8000</v>
      </c>
      <c r="W481" s="196">
        <f ca="1">IF(Inputs!U198&gt;0,Inputs!U198,'Operational Model'!V483)</f>
        <v>8000</v>
      </c>
      <c r="X481" s="196">
        <f ca="1">IF(Inputs!V198&gt;0,Inputs!V198,'Operational Model'!W483)</f>
        <v>8000</v>
      </c>
      <c r="Y481" s="196">
        <f ca="1">IF(Inputs!W198&gt;0,Inputs!W198,'Operational Model'!X483)</f>
        <v>8000</v>
      </c>
      <c r="Z481" s="196">
        <f ca="1">IF(Inputs!X198&gt;0,Inputs!X198,'Operational Model'!Y483)</f>
        <v>8000</v>
      </c>
      <c r="AA481" s="196">
        <f ca="1">IF(Inputs!Y198&gt;0,Inputs!Y198,'Operational Model'!Z483)</f>
        <v>8000</v>
      </c>
      <c r="AB481" s="196">
        <f ca="1">IF(Inputs!Z198&gt;0,Inputs!Z198,'Operational Model'!AA483)</f>
        <v>8000</v>
      </c>
      <c r="AC481" s="196">
        <f ca="1">IF(Inputs!AA198&gt;0,Inputs!AA198,'Operational Model'!AB483)</f>
        <v>8000</v>
      </c>
      <c r="AD481" s="196">
        <f ca="1">IF(Inputs!AB198&gt;0,Inputs!AB198,'Operational Model'!AC483)</f>
        <v>8000</v>
      </c>
    </row>
    <row r="482" spans="2:30" hidden="1" outlineLevel="1" x14ac:dyDescent="0.3">
      <c r="B482" s="165" t="s">
        <v>230</v>
      </c>
      <c r="G482" s="196">
        <f ca="1">G477</f>
        <v>0</v>
      </c>
      <c r="H482" s="196">
        <f t="shared" ref="H482:AD482" ca="1" si="184">H477</f>
        <v>0</v>
      </c>
      <c r="I482" s="196">
        <f t="shared" ca="1" si="184"/>
        <v>0</v>
      </c>
      <c r="J482" s="196">
        <f t="shared" ca="1" si="184"/>
        <v>0</v>
      </c>
      <c r="K482" s="196">
        <f t="shared" ca="1" si="184"/>
        <v>0</v>
      </c>
      <c r="L482" s="196">
        <f t="shared" ca="1" si="184"/>
        <v>0</v>
      </c>
      <c r="M482" s="196">
        <f t="shared" ca="1" si="184"/>
        <v>0</v>
      </c>
      <c r="N482" s="196">
        <f t="shared" ca="1" si="184"/>
        <v>0</v>
      </c>
      <c r="O482" s="196">
        <f t="shared" ca="1" si="184"/>
        <v>0</v>
      </c>
      <c r="P482" s="196">
        <f t="shared" ca="1" si="184"/>
        <v>0</v>
      </c>
      <c r="Q482" s="196">
        <f t="shared" ca="1" si="184"/>
        <v>0</v>
      </c>
      <c r="R482" s="196">
        <f t="shared" ca="1" si="184"/>
        <v>0</v>
      </c>
      <c r="S482" s="196">
        <f t="shared" ca="1" si="184"/>
        <v>0</v>
      </c>
      <c r="T482" s="196">
        <f t="shared" ca="1" si="184"/>
        <v>0</v>
      </c>
      <c r="U482" s="196">
        <f t="shared" ca="1" si="184"/>
        <v>0</v>
      </c>
      <c r="V482" s="196">
        <f t="shared" ca="1" si="184"/>
        <v>0</v>
      </c>
      <c r="W482" s="196">
        <f t="shared" ca="1" si="184"/>
        <v>0</v>
      </c>
      <c r="X482" s="196">
        <f t="shared" ca="1" si="184"/>
        <v>0</v>
      </c>
      <c r="Y482" s="196">
        <f t="shared" ca="1" si="184"/>
        <v>0</v>
      </c>
      <c r="Z482" s="196">
        <f t="shared" ca="1" si="184"/>
        <v>0</v>
      </c>
      <c r="AA482" s="196">
        <f t="shared" ca="1" si="184"/>
        <v>0</v>
      </c>
      <c r="AB482" s="196">
        <f t="shared" ca="1" si="184"/>
        <v>0</v>
      </c>
      <c r="AC482" s="196">
        <f t="shared" ca="1" si="184"/>
        <v>0</v>
      </c>
      <c r="AD482" s="196">
        <f t="shared" ca="1" si="184"/>
        <v>0</v>
      </c>
    </row>
    <row r="483" spans="2:30" hidden="1" outlineLevel="1" x14ac:dyDescent="0.3">
      <c r="B483" s="165" t="s">
        <v>231</v>
      </c>
      <c r="G483" s="292">
        <f ca="1">SUM(G481:G482)</f>
        <v>8000</v>
      </c>
      <c r="H483" s="292">
        <f t="shared" ref="H483:AD483" ca="1" si="185">SUM(H481:H482)</f>
        <v>8000</v>
      </c>
      <c r="I483" s="292">
        <f t="shared" ca="1" si="185"/>
        <v>8000</v>
      </c>
      <c r="J483" s="292">
        <f t="shared" ca="1" si="185"/>
        <v>8000</v>
      </c>
      <c r="K483" s="292">
        <f t="shared" ca="1" si="185"/>
        <v>8000</v>
      </c>
      <c r="L483" s="292">
        <f t="shared" ca="1" si="185"/>
        <v>8000</v>
      </c>
      <c r="M483" s="292">
        <f t="shared" ca="1" si="185"/>
        <v>8000</v>
      </c>
      <c r="N483" s="292">
        <f t="shared" ca="1" si="185"/>
        <v>8000</v>
      </c>
      <c r="O483" s="292">
        <f t="shared" ca="1" si="185"/>
        <v>8000</v>
      </c>
      <c r="P483" s="292">
        <f t="shared" ca="1" si="185"/>
        <v>8000</v>
      </c>
      <c r="Q483" s="292">
        <f t="shared" ca="1" si="185"/>
        <v>8000</v>
      </c>
      <c r="R483" s="292">
        <f t="shared" ca="1" si="185"/>
        <v>8000</v>
      </c>
      <c r="S483" s="292">
        <f t="shared" ca="1" si="185"/>
        <v>8000</v>
      </c>
      <c r="T483" s="292">
        <f t="shared" ca="1" si="185"/>
        <v>8000</v>
      </c>
      <c r="U483" s="292">
        <f t="shared" ca="1" si="185"/>
        <v>8000</v>
      </c>
      <c r="V483" s="292">
        <f t="shared" ca="1" si="185"/>
        <v>8000</v>
      </c>
      <c r="W483" s="292">
        <f t="shared" ca="1" si="185"/>
        <v>8000</v>
      </c>
      <c r="X483" s="292">
        <f t="shared" ca="1" si="185"/>
        <v>8000</v>
      </c>
      <c r="Y483" s="292">
        <f t="shared" ca="1" si="185"/>
        <v>8000</v>
      </c>
      <c r="Z483" s="292">
        <f t="shared" ca="1" si="185"/>
        <v>8000</v>
      </c>
      <c r="AA483" s="292">
        <f t="shared" ca="1" si="185"/>
        <v>8000</v>
      </c>
      <c r="AB483" s="292">
        <f t="shared" ca="1" si="185"/>
        <v>8000</v>
      </c>
      <c r="AC483" s="292">
        <f t="shared" ca="1" si="185"/>
        <v>8000</v>
      </c>
      <c r="AD483" s="292">
        <f t="shared" ca="1" si="185"/>
        <v>8000</v>
      </c>
    </row>
    <row r="484" spans="2:30" hidden="1" outlineLevel="1" x14ac:dyDescent="0.3"/>
    <row r="485" spans="2:30" hidden="1" outlineLevel="1" x14ac:dyDescent="0.3">
      <c r="B485" s="172" t="s">
        <v>184</v>
      </c>
    </row>
    <row r="486" spans="2:30" hidden="1" outlineLevel="1" x14ac:dyDescent="0.3">
      <c r="B486" s="165" t="s">
        <v>229</v>
      </c>
      <c r="G486" s="196">
        <f>IF(Inputs!E199&lt;&gt;0,Inputs!E199,'Operational Model'!F489)</f>
        <v>-6039</v>
      </c>
      <c r="H486" s="196">
        <f>IF(Inputs!F199&lt;&gt;0,Inputs!F199,'Operational Model'!G489)</f>
        <v>-6090.5227691111113</v>
      </c>
      <c r="I486" s="196">
        <f ca="1">IF(Inputs!G199&lt;&gt;0,Inputs!G199,'Operational Model'!H489)</f>
        <v>-6147.9813663457853</v>
      </c>
      <c r="J486" s="196">
        <f ca="1">IF(Inputs!H199&lt;&gt;0,Inputs!H199,'Operational Model'!I489)</f>
        <v>-6211.5808087792884</v>
      </c>
      <c r="K486" s="196">
        <f ca="1">IF(Inputs!I199&lt;&gt;0,Inputs!I199,'Operational Model'!J489)</f>
        <v>-6281.4885580330802</v>
      </c>
      <c r="L486" s="196">
        <f ca="1">IF(Inputs!J199&lt;&gt;0,Inputs!J199,'Operational Model'!K489)</f>
        <v>-6357.8380761918443</v>
      </c>
      <c r="M486" s="196">
        <f ca="1">IF(Inputs!K199&lt;&gt;0,Inputs!K199,'Operational Model'!L489)</f>
        <v>-6440.7294488091657</v>
      </c>
      <c r="N486" s="196">
        <f ca="1">IF(Inputs!L199&lt;&gt;0,Inputs!L199,'Operational Model'!M489)</f>
        <v>-6530.2299577199947</v>
      </c>
      <c r="O486" s="196">
        <f ca="1">IF(Inputs!M199&lt;&gt;0,Inputs!M199,'Operational Model'!N489)</f>
        <v>-6626.374604809429</v>
      </c>
      <c r="P486" s="196">
        <f ca="1">IF(Inputs!N199&lt;&gt;0,Inputs!N199,'Operational Model'!O489)</f>
        <v>-6729.16658781758</v>
      </c>
      <c r="Q486" s="196">
        <f ca="1">IF(Inputs!O199&lt;&gt;0,Inputs!O199,'Operational Model'!P489)</f>
        <v>-6838.5777291923741</v>
      </c>
      <c r="R486" s="196">
        <f ca="1">IF(Inputs!P199&lt;&gt;0,Inputs!P199,'Operational Model'!Q489)</f>
        <v>-6954.548858935972</v>
      </c>
      <c r="S486" s="196">
        <f ca="1">IF(Inputs!Q199&lt;&gt;0,Inputs!Q199,'Operational Model'!R489)</f>
        <v>-7076.9901523259987</v>
      </c>
      <c r="T486" s="196">
        <f ca="1">IF(Inputs!R199&lt;&gt;0,Inputs!R199,'Operational Model'!S489)</f>
        <v>-7194.448808316818</v>
      </c>
      <c r="U486" s="196">
        <f ca="1">IF(Inputs!S199&lt;&gt;0,Inputs!S199,'Operational Model'!T489)</f>
        <v>-7301.7168890841713</v>
      </c>
      <c r="V486" s="196">
        <f ca="1">IF(Inputs!T199&lt;&gt;0,Inputs!T199,'Operational Model'!U489)</f>
        <v>-7398.6595999147221</v>
      </c>
      <c r="W486" s="196">
        <f ca="1">IF(Inputs!U199&lt;&gt;0,Inputs!U199,'Operational Model'!V489)</f>
        <v>-7484.9657944637993</v>
      </c>
      <c r="X486" s="196">
        <f ca="1">IF(Inputs!V199&lt;&gt;0,Inputs!V199,'Operational Model'!W489)</f>
        <v>-7560.2955240655438</v>
      </c>
      <c r="Y486" s="196">
        <f ca="1">IF(Inputs!W199&lt;&gt;0,Inputs!W199,'Operational Model'!X489)</f>
        <v>-7624.2798864850502</v>
      </c>
      <c r="Z486" s="196">
        <f ca="1">IF(Inputs!X199&lt;&gt;0,Inputs!X199,'Operational Model'!Y489)</f>
        <v>-7676.5208587773323</v>
      </c>
      <c r="AA486" s="196">
        <f ca="1">IF(Inputs!Y199&lt;&gt;0,Inputs!Y199,'Operational Model'!Z489)</f>
        <v>-7716.5910989569893</v>
      </c>
      <c r="AB486" s="196">
        <f ca="1">IF(Inputs!Z199&lt;&gt;0,Inputs!Z199,'Operational Model'!AA489)</f>
        <v>-7744.0337164735101</v>
      </c>
      <c r="AC486" s="196">
        <f ca="1">IF(Inputs!AA199&lt;&gt;0,Inputs!AA199,'Operational Model'!AB489)</f>
        <v>-7758.3620114544792</v>
      </c>
      <c r="AD486" s="196">
        <f ca="1">IF(Inputs!AB199&lt;&gt;0,Inputs!AB199,'Operational Model'!AC489)</f>
        <v>-7761.9220851562895</v>
      </c>
    </row>
    <row r="487" spans="2:30" hidden="1" outlineLevel="1" x14ac:dyDescent="0.3">
      <c r="B487" s="165" t="s">
        <v>168</v>
      </c>
      <c r="G487" s="196">
        <f>G476</f>
        <v>-51.522769111111188</v>
      </c>
      <c r="H487" s="196">
        <f t="shared" ref="H487:AD487" ca="1" si="186">H476</f>
        <v>-57.458597234673945</v>
      </c>
      <c r="I487" s="196">
        <f t="shared" ca="1" si="186"/>
        <v>-63.599442433502929</v>
      </c>
      <c r="J487" s="196">
        <f t="shared" ca="1" si="186"/>
        <v>-69.907749253791664</v>
      </c>
      <c r="K487" s="196">
        <f t="shared" ca="1" si="186"/>
        <v>-76.349518158764056</v>
      </c>
      <c r="L487" s="196">
        <f t="shared" ca="1" si="186"/>
        <v>-82.891372617321792</v>
      </c>
      <c r="M487" s="196">
        <f t="shared" ca="1" si="186"/>
        <v>-89.500508910829154</v>
      </c>
      <c r="N487" s="196">
        <f t="shared" ca="1" si="186"/>
        <v>-96.144647089434258</v>
      </c>
      <c r="O487" s="196">
        <f t="shared" ca="1" si="186"/>
        <v>-102.79198300815088</v>
      </c>
      <c r="P487" s="196">
        <f t="shared" ca="1" si="186"/>
        <v>-109.41114137479377</v>
      </c>
      <c r="Q487" s="196">
        <f t="shared" ca="1" si="186"/>
        <v>-115.97112974359814</v>
      </c>
      <c r="R487" s="196">
        <f t="shared" ca="1" si="186"/>
        <v>-122.44129339002633</v>
      </c>
      <c r="S487" s="196">
        <f t="shared" ca="1" si="186"/>
        <v>-117.45865599081961</v>
      </c>
      <c r="T487" s="196">
        <f t="shared" ca="1" si="186"/>
        <v>-107.26808076735293</v>
      </c>
      <c r="U487" s="196">
        <f t="shared" ca="1" si="186"/>
        <v>-96.942710830551249</v>
      </c>
      <c r="V487" s="196">
        <f t="shared" ca="1" si="186"/>
        <v>-86.306194549076793</v>
      </c>
      <c r="W487" s="196">
        <f t="shared" ca="1" si="186"/>
        <v>-75.329729601744887</v>
      </c>
      <c r="X487" s="196">
        <f t="shared" ca="1" si="186"/>
        <v>-63.984362419506439</v>
      </c>
      <c r="Y487" s="196">
        <f t="shared" ca="1" si="186"/>
        <v>-52.240972292282457</v>
      </c>
      <c r="Z487" s="196">
        <f t="shared" ca="1" si="186"/>
        <v>-40.07024017965697</v>
      </c>
      <c r="AA487" s="196">
        <f t="shared" ca="1" si="186"/>
        <v>-27.442617516520802</v>
      </c>
      <c r="AB487" s="196">
        <f t="shared" ca="1" si="186"/>
        <v>-14.32829498096882</v>
      </c>
      <c r="AC487" s="196">
        <f t="shared" ca="1" si="186"/>
        <v>-3.5600737018103468</v>
      </c>
      <c r="AD487" s="196">
        <f t="shared" ca="1" si="186"/>
        <v>5.667872758594676</v>
      </c>
    </row>
    <row r="488" spans="2:30" hidden="1" outlineLevel="1" x14ac:dyDescent="0.3">
      <c r="B488" s="165" t="s">
        <v>172</v>
      </c>
      <c r="G488" s="196">
        <f>G478</f>
        <v>0</v>
      </c>
      <c r="H488" s="196">
        <f t="shared" ref="H488:AD488" si="187">H478</f>
        <v>0</v>
      </c>
      <c r="I488" s="196">
        <f t="shared" si="187"/>
        <v>0</v>
      </c>
      <c r="J488" s="196">
        <f t="shared" si="187"/>
        <v>0</v>
      </c>
      <c r="K488" s="196">
        <f t="shared" si="187"/>
        <v>0</v>
      </c>
      <c r="L488" s="196">
        <f t="shared" si="187"/>
        <v>0</v>
      </c>
      <c r="M488" s="196">
        <f t="shared" si="187"/>
        <v>0</v>
      </c>
      <c r="N488" s="196">
        <f t="shared" si="187"/>
        <v>0</v>
      </c>
      <c r="O488" s="196">
        <f t="shared" si="187"/>
        <v>0</v>
      </c>
      <c r="P488" s="196">
        <f t="shared" si="187"/>
        <v>0</v>
      </c>
      <c r="Q488" s="196">
        <f t="shared" si="187"/>
        <v>0</v>
      </c>
      <c r="R488" s="196">
        <f t="shared" si="187"/>
        <v>0</v>
      </c>
      <c r="S488" s="196">
        <f t="shared" si="187"/>
        <v>0</v>
      </c>
      <c r="T488" s="196">
        <f t="shared" si="187"/>
        <v>0</v>
      </c>
      <c r="U488" s="196">
        <f t="shared" si="187"/>
        <v>0</v>
      </c>
      <c r="V488" s="196">
        <f t="shared" si="187"/>
        <v>0</v>
      </c>
      <c r="W488" s="196">
        <f t="shared" si="187"/>
        <v>0</v>
      </c>
      <c r="X488" s="196">
        <f t="shared" si="187"/>
        <v>0</v>
      </c>
      <c r="Y488" s="196">
        <f t="shared" si="187"/>
        <v>0</v>
      </c>
      <c r="Z488" s="196">
        <f t="shared" si="187"/>
        <v>0</v>
      </c>
      <c r="AA488" s="196">
        <f t="shared" si="187"/>
        <v>0</v>
      </c>
      <c r="AB488" s="196">
        <f t="shared" si="187"/>
        <v>0</v>
      </c>
      <c r="AC488" s="196">
        <f t="shared" si="187"/>
        <v>0</v>
      </c>
      <c r="AD488" s="196">
        <f t="shared" si="187"/>
        <v>0</v>
      </c>
    </row>
    <row r="489" spans="2:30" hidden="1" outlineLevel="1" x14ac:dyDescent="0.3">
      <c r="B489" s="165" t="s">
        <v>231</v>
      </c>
      <c r="G489" s="292">
        <f>G486+G487-G488</f>
        <v>-6090.5227691111113</v>
      </c>
      <c r="H489" s="292">
        <f t="shared" ref="H489:AC489" ca="1" si="188">H486+H487-H488</f>
        <v>-6147.9813663457853</v>
      </c>
      <c r="I489" s="292">
        <f t="shared" ca="1" si="188"/>
        <v>-6211.5808087792884</v>
      </c>
      <c r="J489" s="292">
        <f t="shared" ca="1" si="188"/>
        <v>-6281.4885580330802</v>
      </c>
      <c r="K489" s="292">
        <f t="shared" ca="1" si="188"/>
        <v>-6357.8380761918443</v>
      </c>
      <c r="L489" s="292">
        <f t="shared" ca="1" si="188"/>
        <v>-6440.7294488091657</v>
      </c>
      <c r="M489" s="292">
        <f t="shared" ca="1" si="188"/>
        <v>-6530.2299577199947</v>
      </c>
      <c r="N489" s="292">
        <f t="shared" ca="1" si="188"/>
        <v>-6626.374604809429</v>
      </c>
      <c r="O489" s="292">
        <f t="shared" ca="1" si="188"/>
        <v>-6729.16658781758</v>
      </c>
      <c r="P489" s="292">
        <f t="shared" ca="1" si="188"/>
        <v>-6838.5777291923741</v>
      </c>
      <c r="Q489" s="292">
        <f t="shared" ca="1" si="188"/>
        <v>-6954.548858935972</v>
      </c>
      <c r="R489" s="292">
        <f t="shared" ca="1" si="188"/>
        <v>-7076.9901523259987</v>
      </c>
      <c r="S489" s="292">
        <f t="shared" ca="1" si="188"/>
        <v>-7194.448808316818</v>
      </c>
      <c r="T489" s="292">
        <f t="shared" ca="1" si="188"/>
        <v>-7301.7168890841713</v>
      </c>
      <c r="U489" s="292">
        <f t="shared" ca="1" si="188"/>
        <v>-7398.6595999147221</v>
      </c>
      <c r="V489" s="292">
        <f t="shared" ca="1" si="188"/>
        <v>-7484.9657944637993</v>
      </c>
      <c r="W489" s="292">
        <f t="shared" ca="1" si="188"/>
        <v>-7560.2955240655438</v>
      </c>
      <c r="X489" s="292">
        <f t="shared" ca="1" si="188"/>
        <v>-7624.2798864850502</v>
      </c>
      <c r="Y489" s="292">
        <f t="shared" ca="1" si="188"/>
        <v>-7676.5208587773323</v>
      </c>
      <c r="Z489" s="292">
        <f t="shared" ca="1" si="188"/>
        <v>-7716.5910989569893</v>
      </c>
      <c r="AA489" s="292">
        <f t="shared" ca="1" si="188"/>
        <v>-7744.0337164735101</v>
      </c>
      <c r="AB489" s="292">
        <f t="shared" ca="1" si="188"/>
        <v>-7758.3620114544792</v>
      </c>
      <c r="AC489" s="292">
        <f t="shared" ca="1" si="188"/>
        <v>-7761.9220851562895</v>
      </c>
      <c r="AD489" s="292">
        <f ca="1">AD486+AD487-AD488</f>
        <v>-7756.2542123976946</v>
      </c>
    </row>
    <row r="490" spans="2:30" hidden="1" outlineLevel="1" x14ac:dyDescent="0.3"/>
    <row r="491" spans="2:30" hidden="1" outlineLevel="1" x14ac:dyDescent="0.3">
      <c r="B491" s="172" t="s">
        <v>232</v>
      </c>
    </row>
    <row r="492" spans="2:30" hidden="1" outlineLevel="1" x14ac:dyDescent="0.3">
      <c r="B492" s="165" t="s">
        <v>274</v>
      </c>
      <c r="G492" s="196">
        <f ca="1">G483</f>
        <v>8000</v>
      </c>
      <c r="H492" s="196">
        <f t="shared" ref="H492:AD492" ca="1" si="189">H483</f>
        <v>8000</v>
      </c>
      <c r="I492" s="196">
        <f t="shared" ca="1" si="189"/>
        <v>8000</v>
      </c>
      <c r="J492" s="196">
        <f t="shared" ca="1" si="189"/>
        <v>8000</v>
      </c>
      <c r="K492" s="196">
        <f t="shared" ca="1" si="189"/>
        <v>8000</v>
      </c>
      <c r="L492" s="196">
        <f t="shared" ca="1" si="189"/>
        <v>8000</v>
      </c>
      <c r="M492" s="196">
        <f t="shared" ca="1" si="189"/>
        <v>8000</v>
      </c>
      <c r="N492" s="196">
        <f t="shared" ca="1" si="189"/>
        <v>8000</v>
      </c>
      <c r="O492" s="196">
        <f t="shared" ca="1" si="189"/>
        <v>8000</v>
      </c>
      <c r="P492" s="196">
        <f t="shared" ca="1" si="189"/>
        <v>8000</v>
      </c>
      <c r="Q492" s="196">
        <f t="shared" ca="1" si="189"/>
        <v>8000</v>
      </c>
      <c r="R492" s="196">
        <f t="shared" ca="1" si="189"/>
        <v>8000</v>
      </c>
      <c r="S492" s="196">
        <f t="shared" ca="1" si="189"/>
        <v>8000</v>
      </c>
      <c r="T492" s="196">
        <f t="shared" ca="1" si="189"/>
        <v>8000</v>
      </c>
      <c r="U492" s="196">
        <f t="shared" ca="1" si="189"/>
        <v>8000</v>
      </c>
      <c r="V492" s="196">
        <f t="shared" ca="1" si="189"/>
        <v>8000</v>
      </c>
      <c r="W492" s="196">
        <f t="shared" ca="1" si="189"/>
        <v>8000</v>
      </c>
      <c r="X492" s="196">
        <f t="shared" ca="1" si="189"/>
        <v>8000</v>
      </c>
      <c r="Y492" s="196">
        <f t="shared" ca="1" si="189"/>
        <v>8000</v>
      </c>
      <c r="Z492" s="196">
        <f t="shared" ca="1" si="189"/>
        <v>8000</v>
      </c>
      <c r="AA492" s="196">
        <f t="shared" ca="1" si="189"/>
        <v>8000</v>
      </c>
      <c r="AB492" s="196">
        <f t="shared" ca="1" si="189"/>
        <v>8000</v>
      </c>
      <c r="AC492" s="196">
        <f t="shared" ca="1" si="189"/>
        <v>8000</v>
      </c>
      <c r="AD492" s="196">
        <f t="shared" ca="1" si="189"/>
        <v>8000</v>
      </c>
    </row>
    <row r="493" spans="2:30" hidden="1" outlineLevel="1" x14ac:dyDescent="0.3">
      <c r="B493" s="165" t="s">
        <v>275</v>
      </c>
      <c r="G493" s="196">
        <f>G489</f>
        <v>-6090.5227691111113</v>
      </c>
      <c r="H493" s="196">
        <f t="shared" ref="H493:AD493" ca="1" si="190">H489</f>
        <v>-6147.9813663457853</v>
      </c>
      <c r="I493" s="196">
        <f t="shared" ca="1" si="190"/>
        <v>-6211.5808087792884</v>
      </c>
      <c r="J493" s="196">
        <f t="shared" ca="1" si="190"/>
        <v>-6281.4885580330802</v>
      </c>
      <c r="K493" s="196">
        <f t="shared" ca="1" si="190"/>
        <v>-6357.8380761918443</v>
      </c>
      <c r="L493" s="196">
        <f t="shared" ca="1" si="190"/>
        <v>-6440.7294488091657</v>
      </c>
      <c r="M493" s="196">
        <f t="shared" ca="1" si="190"/>
        <v>-6530.2299577199947</v>
      </c>
      <c r="N493" s="196">
        <f t="shared" ca="1" si="190"/>
        <v>-6626.374604809429</v>
      </c>
      <c r="O493" s="196">
        <f t="shared" ca="1" si="190"/>
        <v>-6729.16658781758</v>
      </c>
      <c r="P493" s="196">
        <f t="shared" ca="1" si="190"/>
        <v>-6838.5777291923741</v>
      </c>
      <c r="Q493" s="196">
        <f t="shared" ca="1" si="190"/>
        <v>-6954.548858935972</v>
      </c>
      <c r="R493" s="196">
        <f t="shared" ca="1" si="190"/>
        <v>-7076.9901523259987</v>
      </c>
      <c r="S493" s="196">
        <f t="shared" ca="1" si="190"/>
        <v>-7194.448808316818</v>
      </c>
      <c r="T493" s="196">
        <f t="shared" ca="1" si="190"/>
        <v>-7301.7168890841713</v>
      </c>
      <c r="U493" s="196">
        <f t="shared" ca="1" si="190"/>
        <v>-7398.6595999147221</v>
      </c>
      <c r="V493" s="196">
        <f t="shared" ca="1" si="190"/>
        <v>-7484.9657944637993</v>
      </c>
      <c r="W493" s="196">
        <f t="shared" ca="1" si="190"/>
        <v>-7560.2955240655438</v>
      </c>
      <c r="X493" s="196">
        <f t="shared" ca="1" si="190"/>
        <v>-7624.2798864850502</v>
      </c>
      <c r="Y493" s="196">
        <f t="shared" ca="1" si="190"/>
        <v>-7676.5208587773323</v>
      </c>
      <c r="Z493" s="196">
        <f t="shared" ca="1" si="190"/>
        <v>-7716.5910989569893</v>
      </c>
      <c r="AA493" s="196">
        <f t="shared" ca="1" si="190"/>
        <v>-7744.0337164735101</v>
      </c>
      <c r="AB493" s="196">
        <f t="shared" ca="1" si="190"/>
        <v>-7758.3620114544792</v>
      </c>
      <c r="AC493" s="196">
        <f t="shared" ca="1" si="190"/>
        <v>-7761.9220851562895</v>
      </c>
      <c r="AD493" s="196">
        <f t="shared" ca="1" si="190"/>
        <v>-7756.2542123976946</v>
      </c>
    </row>
    <row r="494" spans="2:30" hidden="1" outlineLevel="1" x14ac:dyDescent="0.3">
      <c r="B494" s="165" t="s">
        <v>232</v>
      </c>
      <c r="G494" s="292">
        <f ca="1">SUM(G492:G493)</f>
        <v>1909.4772308888887</v>
      </c>
      <c r="H494" s="292">
        <f t="shared" ref="H494:AD494" ca="1" si="191">SUM(H492:H493)</f>
        <v>1852.0186336542147</v>
      </c>
      <c r="I494" s="292">
        <f t="shared" ca="1" si="191"/>
        <v>1788.4191912207116</v>
      </c>
      <c r="J494" s="292">
        <f t="shared" ca="1" si="191"/>
        <v>1718.5114419669198</v>
      </c>
      <c r="K494" s="292">
        <f t="shared" ca="1" si="191"/>
        <v>1642.1619238081557</v>
      </c>
      <c r="L494" s="292">
        <f t="shared" ca="1" si="191"/>
        <v>1559.2705511908343</v>
      </c>
      <c r="M494" s="292">
        <f t="shared" ca="1" si="191"/>
        <v>1469.7700422800053</v>
      </c>
      <c r="N494" s="292">
        <f t="shared" ca="1" si="191"/>
        <v>1373.625395190571</v>
      </c>
      <c r="O494" s="292">
        <f t="shared" ca="1" si="191"/>
        <v>1270.83341218242</v>
      </c>
      <c r="P494" s="292">
        <f t="shared" ca="1" si="191"/>
        <v>1161.4222708076259</v>
      </c>
      <c r="Q494" s="292">
        <f t="shared" ca="1" si="191"/>
        <v>1045.451141064028</v>
      </c>
      <c r="R494" s="292">
        <f t="shared" ca="1" si="191"/>
        <v>923.00984767400132</v>
      </c>
      <c r="S494" s="292">
        <f t="shared" ca="1" si="191"/>
        <v>805.55119168318197</v>
      </c>
      <c r="T494" s="292">
        <f t="shared" ca="1" si="191"/>
        <v>698.28311091582873</v>
      </c>
      <c r="U494" s="292">
        <f t="shared" ca="1" si="191"/>
        <v>601.34040008527791</v>
      </c>
      <c r="V494" s="292">
        <f t="shared" ca="1" si="191"/>
        <v>515.03420553620072</v>
      </c>
      <c r="W494" s="292">
        <f t="shared" ca="1" si="191"/>
        <v>439.70447593445624</v>
      </c>
      <c r="X494" s="292">
        <f t="shared" ca="1" si="191"/>
        <v>375.72011351494984</v>
      </c>
      <c r="Y494" s="292">
        <f t="shared" ca="1" si="191"/>
        <v>323.47914122266775</v>
      </c>
      <c r="Z494" s="292">
        <f t="shared" ca="1" si="191"/>
        <v>283.4089010430107</v>
      </c>
      <c r="AA494" s="292">
        <f t="shared" ca="1" si="191"/>
        <v>255.96628352648986</v>
      </c>
      <c r="AB494" s="292">
        <f t="shared" ca="1" si="191"/>
        <v>241.63798854552078</v>
      </c>
      <c r="AC494" s="292">
        <f t="shared" ca="1" si="191"/>
        <v>238.07791484371046</v>
      </c>
      <c r="AD494" s="292">
        <f t="shared" ca="1" si="191"/>
        <v>243.74578760230543</v>
      </c>
    </row>
    <row r="495" spans="2:30" hidden="1" outlineLevel="1" x14ac:dyDescent="0.3"/>
    <row r="496" spans="2:30" hidden="1" outlineLevel="1" x14ac:dyDescent="0.3"/>
    <row r="497" spans="1:30" collapsed="1" x14ac:dyDescent="0.3"/>
    <row r="498" spans="1:30" ht="21" x14ac:dyDescent="0.3">
      <c r="A498" s="149" t="s">
        <v>33</v>
      </c>
      <c r="B498" s="152" t="s">
        <v>334</v>
      </c>
      <c r="C498" s="153"/>
      <c r="D498" s="153"/>
      <c r="E498" s="153"/>
      <c r="F498" s="153"/>
      <c r="G498" s="153"/>
      <c r="H498" s="153"/>
      <c r="I498" s="153"/>
      <c r="J498" s="153"/>
      <c r="K498" s="153"/>
      <c r="L498" s="153"/>
      <c r="M498" s="153"/>
      <c r="N498" s="153"/>
      <c r="O498" s="153"/>
      <c r="P498" s="153"/>
      <c r="Q498" s="153"/>
      <c r="R498" s="153"/>
      <c r="S498" s="153"/>
      <c r="T498" s="153"/>
      <c r="U498" s="153"/>
      <c r="V498" s="153"/>
      <c r="W498" s="153"/>
      <c r="X498" s="153"/>
      <c r="Y498" s="153"/>
      <c r="Z498" s="153"/>
      <c r="AA498" s="153"/>
      <c r="AB498" s="153"/>
      <c r="AC498" s="153"/>
      <c r="AD498" s="153"/>
    </row>
    <row r="499" spans="1:30" hidden="1" outlineLevel="1" x14ac:dyDescent="0.3"/>
    <row r="500" spans="1:30" hidden="1" outlineLevel="1" x14ac:dyDescent="0.3">
      <c r="B500" s="155" t="s">
        <v>24</v>
      </c>
      <c r="G500" s="156">
        <f>G$5</f>
        <v>2026</v>
      </c>
      <c r="H500" s="157">
        <f t="shared" ref="H500:AD500" si="192">H$5</f>
        <v>2026</v>
      </c>
      <c r="I500" s="158">
        <f t="shared" si="192"/>
        <v>2026</v>
      </c>
      <c r="J500" s="157">
        <f t="shared" si="192"/>
        <v>2026</v>
      </c>
      <c r="K500" s="157">
        <f t="shared" si="192"/>
        <v>2026</v>
      </c>
      <c r="L500" s="158">
        <f t="shared" si="192"/>
        <v>2026</v>
      </c>
      <c r="M500" s="157">
        <f t="shared" si="192"/>
        <v>2026</v>
      </c>
      <c r="N500" s="157">
        <f t="shared" si="192"/>
        <v>2026</v>
      </c>
      <c r="O500" s="158">
        <f t="shared" si="192"/>
        <v>2026</v>
      </c>
      <c r="P500" s="157">
        <f t="shared" si="192"/>
        <v>2026</v>
      </c>
      <c r="Q500" s="157">
        <f t="shared" si="192"/>
        <v>2026</v>
      </c>
      <c r="R500" s="159">
        <f t="shared" si="192"/>
        <v>2026</v>
      </c>
      <c r="S500" s="157">
        <f t="shared" si="192"/>
        <v>2027</v>
      </c>
      <c r="T500" s="157">
        <f t="shared" si="192"/>
        <v>2027</v>
      </c>
      <c r="U500" s="158">
        <f t="shared" si="192"/>
        <v>2027</v>
      </c>
      <c r="V500" s="157">
        <f t="shared" si="192"/>
        <v>2027</v>
      </c>
      <c r="W500" s="157">
        <f t="shared" si="192"/>
        <v>2027</v>
      </c>
      <c r="X500" s="158">
        <f t="shared" si="192"/>
        <v>2027</v>
      </c>
      <c r="Y500" s="157">
        <f t="shared" si="192"/>
        <v>2027</v>
      </c>
      <c r="Z500" s="157">
        <f t="shared" si="192"/>
        <v>2027</v>
      </c>
      <c r="AA500" s="158">
        <f t="shared" si="192"/>
        <v>2027</v>
      </c>
      <c r="AB500" s="157">
        <f t="shared" si="192"/>
        <v>2027</v>
      </c>
      <c r="AC500" s="157">
        <f t="shared" si="192"/>
        <v>2027</v>
      </c>
      <c r="AD500" s="159">
        <f t="shared" si="192"/>
        <v>2027</v>
      </c>
    </row>
    <row r="501" spans="1:30" hidden="1" outlineLevel="1" x14ac:dyDescent="0.3">
      <c r="B501" s="155" t="str" cm="1">
        <f t="array" ref="B501">CONCATENATE("Model Running: ",INDEX(Inputs!$B$15:$B$17,Inputs!$D$8)," Drivers")</f>
        <v>Model Running: Base Case Drivers</v>
      </c>
      <c r="G501" s="161">
        <f>G$6</f>
        <v>1</v>
      </c>
      <c r="H501" s="162">
        <f t="shared" ref="H501:AD501" si="193">H$6</f>
        <v>1</v>
      </c>
      <c r="I501" s="163">
        <f t="shared" si="193"/>
        <v>1</v>
      </c>
      <c r="J501" s="162">
        <f t="shared" si="193"/>
        <v>2</v>
      </c>
      <c r="K501" s="162">
        <f t="shared" si="193"/>
        <v>2</v>
      </c>
      <c r="L501" s="163">
        <f t="shared" si="193"/>
        <v>2</v>
      </c>
      <c r="M501" s="162">
        <f t="shared" si="193"/>
        <v>3</v>
      </c>
      <c r="N501" s="162">
        <f t="shared" si="193"/>
        <v>3</v>
      </c>
      <c r="O501" s="163">
        <f t="shared" si="193"/>
        <v>3</v>
      </c>
      <c r="P501" s="162">
        <f t="shared" si="193"/>
        <v>4</v>
      </c>
      <c r="Q501" s="162">
        <f t="shared" si="193"/>
        <v>4</v>
      </c>
      <c r="R501" s="164">
        <f t="shared" si="193"/>
        <v>4</v>
      </c>
      <c r="S501" s="162">
        <f t="shared" si="193"/>
        <v>1</v>
      </c>
      <c r="T501" s="162">
        <f t="shared" si="193"/>
        <v>1</v>
      </c>
      <c r="U501" s="163">
        <f t="shared" si="193"/>
        <v>1</v>
      </c>
      <c r="V501" s="162">
        <f t="shared" si="193"/>
        <v>2</v>
      </c>
      <c r="W501" s="162">
        <f t="shared" si="193"/>
        <v>2</v>
      </c>
      <c r="X501" s="163">
        <f t="shared" si="193"/>
        <v>2</v>
      </c>
      <c r="Y501" s="162">
        <f t="shared" si="193"/>
        <v>3</v>
      </c>
      <c r="Z501" s="162">
        <f t="shared" si="193"/>
        <v>3</v>
      </c>
      <c r="AA501" s="163">
        <f t="shared" si="193"/>
        <v>3</v>
      </c>
      <c r="AB501" s="162">
        <f t="shared" si="193"/>
        <v>4</v>
      </c>
      <c r="AC501" s="162">
        <f t="shared" si="193"/>
        <v>4</v>
      </c>
      <c r="AD501" s="164">
        <f t="shared" si="193"/>
        <v>4</v>
      </c>
    </row>
    <row r="502" spans="1:30" hidden="1" outlineLevel="1" x14ac:dyDescent="0.3">
      <c r="G502" s="166">
        <f>G$7</f>
        <v>46053</v>
      </c>
      <c r="H502" s="167">
        <f t="shared" ref="H502:AD502" si="194">H$7</f>
        <v>46081</v>
      </c>
      <c r="I502" s="168">
        <f t="shared" si="194"/>
        <v>46112</v>
      </c>
      <c r="J502" s="167">
        <f t="shared" si="194"/>
        <v>46142</v>
      </c>
      <c r="K502" s="167">
        <f t="shared" si="194"/>
        <v>46173</v>
      </c>
      <c r="L502" s="168">
        <f t="shared" si="194"/>
        <v>46203</v>
      </c>
      <c r="M502" s="167">
        <f t="shared" si="194"/>
        <v>46234</v>
      </c>
      <c r="N502" s="167">
        <f t="shared" si="194"/>
        <v>46265</v>
      </c>
      <c r="O502" s="168">
        <f t="shared" si="194"/>
        <v>46295</v>
      </c>
      <c r="P502" s="167">
        <f t="shared" si="194"/>
        <v>46326</v>
      </c>
      <c r="Q502" s="167">
        <f t="shared" si="194"/>
        <v>46356</v>
      </c>
      <c r="R502" s="169">
        <f t="shared" si="194"/>
        <v>46387</v>
      </c>
      <c r="S502" s="167">
        <f t="shared" si="194"/>
        <v>46418</v>
      </c>
      <c r="T502" s="167">
        <f t="shared" si="194"/>
        <v>46446</v>
      </c>
      <c r="U502" s="168">
        <f t="shared" si="194"/>
        <v>46477</v>
      </c>
      <c r="V502" s="167">
        <f t="shared" si="194"/>
        <v>46507</v>
      </c>
      <c r="W502" s="167">
        <f t="shared" si="194"/>
        <v>46538</v>
      </c>
      <c r="X502" s="168">
        <f t="shared" si="194"/>
        <v>46568</v>
      </c>
      <c r="Y502" s="167">
        <f t="shared" si="194"/>
        <v>46599</v>
      </c>
      <c r="Z502" s="167">
        <f t="shared" si="194"/>
        <v>46630</v>
      </c>
      <c r="AA502" s="168">
        <f t="shared" si="194"/>
        <v>46660</v>
      </c>
      <c r="AB502" s="167">
        <f t="shared" si="194"/>
        <v>46691</v>
      </c>
      <c r="AC502" s="167">
        <f t="shared" si="194"/>
        <v>46721</v>
      </c>
      <c r="AD502" s="169">
        <f t="shared" si="194"/>
        <v>46752</v>
      </c>
    </row>
    <row r="503" spans="1:30" hidden="1" outlineLevel="1" x14ac:dyDescent="0.3"/>
    <row r="504" spans="1:30" hidden="1" outlineLevel="1" x14ac:dyDescent="0.3"/>
    <row r="505" spans="1:30" hidden="1" outlineLevel="1" x14ac:dyDescent="0.3">
      <c r="B505" s="172" t="s">
        <v>233</v>
      </c>
    </row>
    <row r="506" spans="1:30" hidden="1" outlineLevel="1" x14ac:dyDescent="0.3">
      <c r="B506" s="165" t="s">
        <v>56</v>
      </c>
      <c r="G506" s="196">
        <f t="shared" ref="G506:AD506" si="195">G136</f>
        <v>35</v>
      </c>
      <c r="H506" s="196">
        <f t="shared" si="195"/>
        <v>35.000799999999998</v>
      </c>
      <c r="I506" s="196">
        <f t="shared" si="195"/>
        <v>35.043591999999997</v>
      </c>
      <c r="J506" s="196">
        <f t="shared" si="195"/>
        <v>35.127957040000005</v>
      </c>
      <c r="K506" s="196">
        <f t="shared" si="195"/>
        <v>35.253530740000009</v>
      </c>
      <c r="L506" s="196">
        <f t="shared" si="195"/>
        <v>35.420002251448011</v>
      </c>
      <c r="M506" s="196">
        <f t="shared" si="195"/>
        <v>35.627113284669534</v>
      </c>
      <c r="N506" s="196">
        <f t="shared" si="195"/>
        <v>35.874657210260573</v>
      </c>
      <c r="O506" s="196">
        <f t="shared" si="195"/>
        <v>36.162478232537303</v>
      </c>
      <c r="P506" s="196">
        <f t="shared" si="195"/>
        <v>36.490470633243589</v>
      </c>
      <c r="Q506" s="196">
        <f t="shared" si="195"/>
        <v>36.858578083821847</v>
      </c>
      <c r="R506" s="196">
        <f t="shared" si="195"/>
        <v>37.26679302465422</v>
      </c>
      <c r="S506" s="196">
        <f t="shared" si="195"/>
        <v>39.600913915267803</v>
      </c>
      <c r="T506" s="196">
        <f t="shared" si="195"/>
        <v>40.024561740903302</v>
      </c>
      <c r="U506" s="196">
        <f t="shared" si="195"/>
        <v>40.482588513114038</v>
      </c>
      <c r="V506" s="196">
        <f t="shared" si="195"/>
        <v>40.974854620025134</v>
      </c>
      <c r="W506" s="196">
        <f t="shared" si="195"/>
        <v>41.50125892105752</v>
      </c>
      <c r="X506" s="196">
        <f t="shared" si="195"/>
        <v>42.061737946323369</v>
      </c>
      <c r="Y506" s="196">
        <f t="shared" si="195"/>
        <v>42.656265150026819</v>
      </c>
      <c r="Z506" s="196">
        <f t="shared" si="195"/>
        <v>43.284850216110947</v>
      </c>
      <c r="AA506" s="196">
        <f t="shared" si="195"/>
        <v>43.947538414479169</v>
      </c>
      <c r="AB506" s="196">
        <f t="shared" si="195"/>
        <v>44.644410006202051</v>
      </c>
      <c r="AC506" s="196">
        <f t="shared" si="195"/>
        <v>45.375579696200852</v>
      </c>
      <c r="AD506" s="196">
        <f t="shared" si="195"/>
        <v>46.14119613197618</v>
      </c>
    </row>
    <row r="507" spans="1:30" hidden="1" outlineLevel="1" x14ac:dyDescent="0.3">
      <c r="B507" s="165" t="s">
        <v>342</v>
      </c>
      <c r="G507" s="196">
        <f>G302*Inputs!$X$112</f>
        <v>247.96928693333336</v>
      </c>
      <c r="H507" s="196">
        <f>H302*Inputs!$X$112</f>
        <v>255.34004678441897</v>
      </c>
      <c r="I507" s="196">
        <f>I302*Inputs!$X$112</f>
        <v>262.68286920462936</v>
      </c>
      <c r="J507" s="196">
        <f>J302*Inputs!$X$112</f>
        <v>270.00322318480397</v>
      </c>
      <c r="K507" s="196">
        <f>K302*Inputs!$X$112</f>
        <v>277.30646543699658</v>
      </c>
      <c r="L507" s="196">
        <f>L302*Inputs!$X$112</f>
        <v>284.59784856345988</v>
      </c>
      <c r="M507" s="196">
        <f>M302*Inputs!$X$112</f>
        <v>291.88252902465194</v>
      </c>
      <c r="N507" s="196">
        <f>N302*Inputs!$X$112</f>
        <v>299.16557491771425</v>
      </c>
      <c r="O507" s="196">
        <f>O302*Inputs!$X$112</f>
        <v>306.45197357654905</v>
      </c>
      <c r="P507" s="196">
        <f>P302*Inputs!$X$112</f>
        <v>313.74663900432421</v>
      </c>
      <c r="Q507" s="196">
        <f>Q302*Inputs!$X$112</f>
        <v>321.05441914894254</v>
      </c>
      <c r="R507" s="196">
        <f>R302*Inputs!$X$112</f>
        <v>328.38010303174372</v>
      </c>
      <c r="S507" s="196">
        <f>S302*Inputs!$X$112</f>
        <v>334.19327030033151</v>
      </c>
      <c r="T507" s="196">
        <f>T302*Inputs!$X$112</f>
        <v>338.76742889796316</v>
      </c>
      <c r="U507" s="196">
        <f>U302*Inputs!$X$112</f>
        <v>343.32620146401899</v>
      </c>
      <c r="V507" s="196">
        <f>V302*Inputs!$X$112</f>
        <v>347.87305101687519</v>
      </c>
      <c r="W507" s="196">
        <f>W302*Inputs!$X$112</f>
        <v>352.4112875761748</v>
      </c>
      <c r="X507" s="196">
        <f>X302*Inputs!$X$112</f>
        <v>356.94407445199732</v>
      </c>
      <c r="Y507" s="196">
        <f>Y302*Inputs!$X$112</f>
        <v>361.47443421313528</v>
      </c>
      <c r="Z507" s="196">
        <f>Z302*Inputs!$X$112</f>
        <v>366.00525434609267</v>
      </c>
      <c r="AA507" s="196">
        <f>AA302*Inputs!$X$112</f>
        <v>370.539292615845</v>
      </c>
      <c r="AB507" s="196">
        <f>AB302*Inputs!$X$112</f>
        <v>375.07918213885</v>
      </c>
      <c r="AC507" s="196">
        <f>AC302*Inputs!$X$112</f>
        <v>380.77259718222859</v>
      </c>
      <c r="AD507" s="196">
        <f>AD302*Inputs!$X$112</f>
        <v>386.52460036878188</v>
      </c>
    </row>
    <row r="508" spans="1:30" hidden="1" outlineLevel="1" x14ac:dyDescent="0.3">
      <c r="B508" s="165" t="s">
        <v>38</v>
      </c>
      <c r="E508" s="293" t="s">
        <v>58</v>
      </c>
      <c r="G508" s="196">
        <f t="shared" ref="G508:AD508" si="196">G143</f>
        <v>1052.0999999999999</v>
      </c>
      <c r="H508" s="196">
        <f t="shared" si="196"/>
        <v>1054.2041999999999</v>
      </c>
      <c r="I508" s="196">
        <f t="shared" si="196"/>
        <v>1056.3126083999998</v>
      </c>
      <c r="J508" s="196">
        <f t="shared" si="196"/>
        <v>1058.4252336167999</v>
      </c>
      <c r="K508" s="196">
        <f t="shared" si="196"/>
        <v>1060.5420840840336</v>
      </c>
      <c r="L508" s="196">
        <f t="shared" si="196"/>
        <v>1062.6631682522016</v>
      </c>
      <c r="M508" s="196">
        <f t="shared" si="196"/>
        <v>1064.788494588706</v>
      </c>
      <c r="N508" s="196">
        <f t="shared" si="196"/>
        <v>1066.9180715778834</v>
      </c>
      <c r="O508" s="196">
        <f t="shared" si="196"/>
        <v>1069.0519077210392</v>
      </c>
      <c r="P508" s="196">
        <f t="shared" si="196"/>
        <v>1071.1900115364813</v>
      </c>
      <c r="Q508" s="196">
        <f t="shared" si="196"/>
        <v>1073.3323915595543</v>
      </c>
      <c r="R508" s="196">
        <f t="shared" si="196"/>
        <v>1075.4790563426734</v>
      </c>
      <c r="S508" s="196">
        <f t="shared" si="196"/>
        <v>1078.7054935117014</v>
      </c>
      <c r="T508" s="196">
        <f t="shared" si="196"/>
        <v>1081.9416099922366</v>
      </c>
      <c r="U508" s="196">
        <f t="shared" si="196"/>
        <v>1085.1874348222134</v>
      </c>
      <c r="V508" s="196">
        <f t="shared" si="196"/>
        <v>1088.44299712668</v>
      </c>
      <c r="W508" s="196">
        <f t="shared" si="196"/>
        <v>1091.7083261180601</v>
      </c>
      <c r="X508" s="196">
        <f t="shared" si="196"/>
        <v>1094.9834510964142</v>
      </c>
      <c r="Y508" s="196">
        <f t="shared" si="196"/>
        <v>1098.2684014497036</v>
      </c>
      <c r="Z508" s="196">
        <f t="shared" si="196"/>
        <v>1101.5632066540527</v>
      </c>
      <c r="AA508" s="196">
        <f t="shared" si="196"/>
        <v>1104.8678962740148</v>
      </c>
      <c r="AB508" s="196">
        <f t="shared" si="196"/>
        <v>1108.1824999628368</v>
      </c>
      <c r="AC508" s="196">
        <f t="shared" si="196"/>
        <v>1111.5070474627253</v>
      </c>
      <c r="AD508" s="196">
        <f t="shared" si="196"/>
        <v>1114.8415686051135</v>
      </c>
    </row>
    <row r="509" spans="1:30" hidden="1" outlineLevel="1" x14ac:dyDescent="0.3">
      <c r="B509" s="165" t="s">
        <v>286</v>
      </c>
      <c r="G509" s="178">
        <f t="shared" ref="G509:AD509" si="197">G16</f>
        <v>0.85153096630234515</v>
      </c>
      <c r="H509" s="178">
        <f t="shared" si="197"/>
        <v>0.85052710017801914</v>
      </c>
      <c r="I509" s="178">
        <f t="shared" si="197"/>
        <v>0.84953994764440854</v>
      </c>
      <c r="J509" s="178">
        <f t="shared" si="197"/>
        <v>0.84857279751777515</v>
      </c>
      <c r="K509" s="178">
        <f t="shared" si="197"/>
        <v>0.84762878554948373</v>
      </c>
      <c r="L509" s="178">
        <f t="shared" si="197"/>
        <v>0.84671090750023226</v>
      </c>
      <c r="M509" s="178">
        <f t="shared" si="197"/>
        <v>0.84582202810913298</v>
      </c>
      <c r="N509" s="178">
        <f t="shared" si="197"/>
        <v>0.84496488678930559</v>
      </c>
      <c r="O509" s="178">
        <f t="shared" si="197"/>
        <v>0.84414210071471951</v>
      </c>
      <c r="P509" s="178">
        <f t="shared" si="197"/>
        <v>0.84335616583755602</v>
      </c>
      <c r="Q509" s="178">
        <f t="shared" si="197"/>
        <v>0.84260945628015882</v>
      </c>
      <c r="R509" s="178">
        <f t="shared" si="197"/>
        <v>0.84190422247259411</v>
      </c>
      <c r="S509" s="178">
        <f t="shared" si="197"/>
        <v>0.84239179297312117</v>
      </c>
      <c r="T509" s="178">
        <f t="shared" si="197"/>
        <v>0.84337455492136726</v>
      </c>
      <c r="U509" s="178">
        <f t="shared" si="197"/>
        <v>0.84421412711211674</v>
      </c>
      <c r="V509" s="178">
        <f t="shared" si="197"/>
        <v>0.84504152470839677</v>
      </c>
      <c r="W509" s="178">
        <f t="shared" si="197"/>
        <v>0.84586000235768177</v>
      </c>
      <c r="X509" s="178">
        <f t="shared" si="197"/>
        <v>0.84667244393693175</v>
      </c>
      <c r="Y509" s="178">
        <f t="shared" si="197"/>
        <v>0.84748139946001155</v>
      </c>
      <c r="Z509" s="178">
        <f t="shared" si="197"/>
        <v>0.8482891171304785</v>
      </c>
      <c r="AA509" s="178">
        <f t="shared" si="197"/>
        <v>0.84909757135003727</v>
      </c>
      <c r="AB509" s="178">
        <f t="shared" si="197"/>
        <v>0.84990848734669289</v>
      </c>
      <c r="AC509" s="178">
        <f t="shared" si="197"/>
        <v>0.85072336296851181</v>
      </c>
      <c r="AD509" s="178">
        <f t="shared" si="197"/>
        <v>0.85154348809297864</v>
      </c>
    </row>
    <row r="510" spans="1:30" hidden="1" outlineLevel="1" x14ac:dyDescent="0.3">
      <c r="B510" s="165" t="s">
        <v>335</v>
      </c>
      <c r="G510" s="178">
        <f t="shared" ref="G510:AD510" si="198">-G137/G135</f>
        <v>0.02</v>
      </c>
      <c r="H510" s="178">
        <f t="shared" si="198"/>
        <v>0.02</v>
      </c>
      <c r="I510" s="178">
        <f t="shared" si="198"/>
        <v>0.02</v>
      </c>
      <c r="J510" s="178">
        <f t="shared" si="198"/>
        <v>0.02</v>
      </c>
      <c r="K510" s="178">
        <f t="shared" si="198"/>
        <v>0.02</v>
      </c>
      <c r="L510" s="178">
        <f t="shared" si="198"/>
        <v>0.02</v>
      </c>
      <c r="M510" s="178">
        <f t="shared" si="198"/>
        <v>0.02</v>
      </c>
      <c r="N510" s="178">
        <f t="shared" si="198"/>
        <v>0.02</v>
      </c>
      <c r="O510" s="178">
        <f t="shared" si="198"/>
        <v>0.02</v>
      </c>
      <c r="P510" s="178">
        <f t="shared" si="198"/>
        <v>0.02</v>
      </c>
      <c r="Q510" s="178">
        <f t="shared" si="198"/>
        <v>0.02</v>
      </c>
      <c r="R510" s="178">
        <f t="shared" si="198"/>
        <v>0.02</v>
      </c>
      <c r="S510" s="178">
        <f t="shared" si="198"/>
        <v>1.7999999999999999E-2</v>
      </c>
      <c r="T510" s="178">
        <f t="shared" si="198"/>
        <v>1.7999999999999999E-2</v>
      </c>
      <c r="U510" s="178">
        <f t="shared" si="198"/>
        <v>1.7999999999999999E-2</v>
      </c>
      <c r="V510" s="178">
        <f t="shared" si="198"/>
        <v>1.7999999999999999E-2</v>
      </c>
      <c r="W510" s="178">
        <f t="shared" si="198"/>
        <v>1.7999999999999999E-2</v>
      </c>
      <c r="X510" s="178">
        <f t="shared" si="198"/>
        <v>1.7999999999999999E-2</v>
      </c>
      <c r="Y510" s="178">
        <f t="shared" si="198"/>
        <v>1.7999999999999999E-2</v>
      </c>
      <c r="Z510" s="178">
        <f t="shared" si="198"/>
        <v>1.7999999999999999E-2</v>
      </c>
      <c r="AA510" s="178">
        <f t="shared" si="198"/>
        <v>1.7999999999999999E-2</v>
      </c>
      <c r="AB510" s="178">
        <f t="shared" si="198"/>
        <v>1.7999999999999999E-2</v>
      </c>
      <c r="AC510" s="178">
        <f t="shared" si="198"/>
        <v>1.7999999999999999E-2</v>
      </c>
      <c r="AD510" s="178">
        <f t="shared" si="198"/>
        <v>1.7999999999999999E-2</v>
      </c>
    </row>
    <row r="511" spans="1:30" hidden="1" outlineLevel="1" x14ac:dyDescent="0.3"/>
    <row r="512" spans="1:30" hidden="1" outlineLevel="1" x14ac:dyDescent="0.3">
      <c r="B512" s="172" t="s">
        <v>334</v>
      </c>
    </row>
    <row r="513" spans="2:30" hidden="1" outlineLevel="1" x14ac:dyDescent="0.3">
      <c r="B513" s="165" t="s">
        <v>336</v>
      </c>
      <c r="G513" s="306">
        <f>G507/G506</f>
        <v>7.0848367695238101</v>
      </c>
      <c r="H513" s="305">
        <f t="shared" ref="H513:AD513" si="199">H507/H506</f>
        <v>7.2952631592540449</v>
      </c>
      <c r="I513" s="307">
        <f t="shared" si="199"/>
        <v>7.495888811986779</v>
      </c>
      <c r="J513" s="305">
        <f t="shared" si="199"/>
        <v>7.6862774250535786</v>
      </c>
      <c r="K513" s="305">
        <f t="shared" si="199"/>
        <v>7.8660621962144068</v>
      </c>
      <c r="L513" s="307">
        <f t="shared" si="199"/>
        <v>8.0349472183284565</v>
      </c>
      <c r="M513" s="305">
        <f t="shared" si="199"/>
        <v>8.1927078035325973</v>
      </c>
      <c r="N513" s="305">
        <f t="shared" si="199"/>
        <v>8.3391897841507294</v>
      </c>
      <c r="O513" s="307">
        <f t="shared" si="199"/>
        <v>8.4743078614788612</v>
      </c>
      <c r="P513" s="305">
        <f t="shared" si="199"/>
        <v>8.5980430934342191</v>
      </c>
      <c r="Q513" s="305">
        <f t="shared" si="199"/>
        <v>8.7104396273458349</v>
      </c>
      <c r="R513" s="307">
        <f t="shared" si="199"/>
        <v>8.8116007946941011</v>
      </c>
      <c r="S513" s="305">
        <f t="shared" si="199"/>
        <v>8.4390292359259433</v>
      </c>
      <c r="T513" s="305">
        <f t="shared" si="199"/>
        <v>8.4639884651568362</v>
      </c>
      <c r="U513" s="307">
        <f t="shared" si="199"/>
        <v>8.4808361835064225</v>
      </c>
      <c r="V513" s="305">
        <f t="shared" si="199"/>
        <v>8.4899154430889308</v>
      </c>
      <c r="W513" s="305">
        <f t="shared" si="199"/>
        <v>8.4915806589511238</v>
      </c>
      <c r="X513" s="307">
        <f t="shared" si="199"/>
        <v>8.4861941488843762</v>
      </c>
      <c r="Y513" s="305">
        <f t="shared" si="199"/>
        <v>8.4741229205555051</v>
      </c>
      <c r="Z513" s="305">
        <f t="shared" si="199"/>
        <v>8.4557357255186432</v>
      </c>
      <c r="AA513" s="307">
        <f t="shared" si="199"/>
        <v>8.4314003920129768</v>
      </c>
      <c r="AB513" s="305">
        <f t="shared" si="199"/>
        <v>8.4014814416125905</v>
      </c>
      <c r="AC513" s="305">
        <f t="shared" si="199"/>
        <v>8.3915753744983981</v>
      </c>
      <c r="AD513" s="307">
        <f t="shared" si="199"/>
        <v>8.3769956735238935</v>
      </c>
    </row>
    <row r="514" spans="2:30" hidden="1" outlineLevel="1" x14ac:dyDescent="0.3">
      <c r="B514" s="165" t="s">
        <v>337</v>
      </c>
      <c r="G514" s="308">
        <f>G508*G509/G510/1000</f>
        <v>44.794786482334864</v>
      </c>
      <c r="H514" s="309">
        <f t="shared" ref="H514:AD514" si="200">H508*H509/H510/1000</f>
        <v>44.831462061074419</v>
      </c>
      <c r="I514" s="310">
        <f t="shared" si="200"/>
        <v>44.86898790181322</v>
      </c>
      <c r="J514" s="309">
        <f t="shared" si="200"/>
        <v>44.907543072680632</v>
      </c>
      <c r="K514" s="309">
        <f t="shared" si="200"/>
        <v>44.947299937813391</v>
      </c>
      <c r="L514" s="310">
        <f t="shared" si="200"/>
        <v>44.988424777894679</v>
      </c>
      <c r="M514" s="309">
        <f t="shared" si="200"/>
        <v>45.031078200014498</v>
      </c>
      <c r="N514" s="309">
        <f t="shared" si="200"/>
        <v>45.075415378213528</v>
      </c>
      <c r="O514" s="310">
        <f t="shared" si="200"/>
        <v>45.121586157835821</v>
      </c>
      <c r="P514" s="309">
        <f t="shared" si="200"/>
        <v>45.169735050644711</v>
      </c>
      <c r="Q514" s="309">
        <f t="shared" si="200"/>
        <v>45.220001142993922</v>
      </c>
      <c r="R514" s="310">
        <f t="shared" si="200"/>
        <v>45.272517935786887</v>
      </c>
      <c r="S514" s="309">
        <f t="shared" si="200"/>
        <v>50.482925264959881</v>
      </c>
      <c r="T514" s="309">
        <f t="shared" si="200"/>
        <v>50.693445765450569</v>
      </c>
      <c r="U514" s="310">
        <f t="shared" si="200"/>
        <v>50.896142391192896</v>
      </c>
      <c r="V514" s="309">
        <f t="shared" si="200"/>
        <v>51.098862769450378</v>
      </c>
      <c r="W514" s="309">
        <f t="shared" si="200"/>
        <v>51.301800405784618</v>
      </c>
      <c r="X514" s="310">
        <f t="shared" si="200"/>
        <v>51.505128589460938</v>
      </c>
      <c r="Y514" s="309">
        <f t="shared" si="200"/>
        <v>51.709002324628038</v>
      </c>
      <c r="Z514" s="309">
        <f t="shared" si="200"/>
        <v>51.913560001999187</v>
      </c>
      <c r="AA514" s="310">
        <f t="shared" si="200"/>
        <v>52.118924854938385</v>
      </c>
      <c r="AB514" s="309">
        <f t="shared" si="200"/>
        <v>52.325206235971741</v>
      </c>
      <c r="AC514" s="309">
        <f t="shared" si="200"/>
        <v>52.532500743371727</v>
      </c>
      <c r="AD514" s="310">
        <f t="shared" si="200"/>
        <v>52.740893222280341</v>
      </c>
    </row>
    <row r="515" spans="2:30" hidden="1" outlineLevel="1" x14ac:dyDescent="0.3">
      <c r="B515" s="165" t="s">
        <v>338</v>
      </c>
      <c r="E515" s="291" t="s">
        <v>343</v>
      </c>
      <c r="G515" s="340">
        <f>G514/G513</f>
        <v>6.3226278797310433</v>
      </c>
      <c r="H515" s="341">
        <f t="shared" ref="H515:AD515" si="201">H514/H513</f>
        <v>6.1452837385592716</v>
      </c>
      <c r="I515" s="342">
        <f t="shared" si="201"/>
        <v>5.9858128938709179</v>
      </c>
      <c r="J515" s="341">
        <f t="shared" si="201"/>
        <v>5.8425607858367918</v>
      </c>
      <c r="K515" s="341">
        <f t="shared" si="201"/>
        <v>5.7140788893640542</v>
      </c>
      <c r="L515" s="342">
        <f t="shared" si="201"/>
        <v>5.5990940021699123</v>
      </c>
      <c r="M515" s="341">
        <f t="shared" si="201"/>
        <v>5.4964828820817502</v>
      </c>
      <c r="N515" s="341">
        <f t="shared" si="201"/>
        <v>5.4052511748662697</v>
      </c>
      <c r="O515" s="342">
        <f t="shared" si="201"/>
        <v>5.3245158065288418</v>
      </c>
      <c r="P515" s="341">
        <f t="shared" si="201"/>
        <v>5.2534901907083924</v>
      </c>
      <c r="Q515" s="341">
        <f t="shared" si="201"/>
        <v>5.1914717370899162</v>
      </c>
      <c r="R515" s="342">
        <f t="shared" si="201"/>
        <v>5.1378312511669506</v>
      </c>
      <c r="S515" s="341">
        <f t="shared" si="201"/>
        <v>5.9820773045847631</v>
      </c>
      <c r="T515" s="341">
        <f t="shared" si="201"/>
        <v>5.9893094105854541</v>
      </c>
      <c r="U515" s="342">
        <f t="shared" si="201"/>
        <v>6.001311815240105</v>
      </c>
      <c r="V515" s="341">
        <f t="shared" si="201"/>
        <v>6.0187716959002842</v>
      </c>
      <c r="W515" s="341">
        <f t="shared" si="201"/>
        <v>6.0414900907414086</v>
      </c>
      <c r="X515" s="342">
        <f t="shared" si="201"/>
        <v>6.0692847330427826</v>
      </c>
      <c r="Y515" s="341">
        <f t="shared" si="201"/>
        <v>6.1019887024766399</v>
      </c>
      <c r="Z515" s="341">
        <f t="shared" si="201"/>
        <v>6.1394492078706735</v>
      </c>
      <c r="AA515" s="342">
        <f t="shared" si="201"/>
        <v>6.1815264880921061</v>
      </c>
      <c r="AB515" s="341">
        <f t="shared" si="201"/>
        <v>6.2280928190598228</v>
      </c>
      <c r="AC515" s="341">
        <f t="shared" si="201"/>
        <v>6.2601476360464474</v>
      </c>
      <c r="AD515" s="342">
        <f t="shared" si="201"/>
        <v>6.295919835433577</v>
      </c>
    </row>
    <row r="516" spans="2:30" hidden="1" outlineLevel="1" x14ac:dyDescent="0.3">
      <c r="B516" s="165" t="s">
        <v>339</v>
      </c>
      <c r="E516" s="291" t="s">
        <v>266</v>
      </c>
      <c r="G516" s="326">
        <f>G513/(G508/1000*G509)</f>
        <v>7.9081041856486642</v>
      </c>
      <c r="H516" s="327">
        <f t="shared" ref="H516:AD516" si="202">H513/(H508/1000*H509)</f>
        <v>8.1363208156312457</v>
      </c>
      <c r="I516" s="328">
        <f t="shared" si="202"/>
        <v>8.3530843490274709</v>
      </c>
      <c r="J516" s="327">
        <f t="shared" si="202"/>
        <v>8.557891279660657</v>
      </c>
      <c r="K516" s="327">
        <f t="shared" si="202"/>
        <v>8.7503167121244836</v>
      </c>
      <c r="L516" s="328">
        <f t="shared" si="202"/>
        <v>8.9300161741565063</v>
      </c>
      <c r="M516" s="327">
        <f t="shared" si="202"/>
        <v>9.0967262288758164</v>
      </c>
      <c r="N516" s="327">
        <f t="shared" si="202"/>
        <v>9.2502639345408486</v>
      </c>
      <c r="O516" s="328">
        <f t="shared" si="202"/>
        <v>9.3905252264798893</v>
      </c>
      <c r="P516" s="327">
        <f t="shared" si="202"/>
        <v>9.5174823184085717</v>
      </c>
      <c r="Q516" s="327">
        <f t="shared" si="202"/>
        <v>9.6311802379237328</v>
      </c>
      <c r="R516" s="328">
        <f t="shared" si="202"/>
        <v>9.731732623301621</v>
      </c>
      <c r="S516" s="327">
        <f t="shared" si="202"/>
        <v>9.2870006064577044</v>
      </c>
      <c r="T516" s="327">
        <f t="shared" si="202"/>
        <v>9.2757865301410476</v>
      </c>
      <c r="U516" s="328">
        <f t="shared" si="202"/>
        <v>9.2572352955356063</v>
      </c>
      <c r="V516" s="327">
        <f t="shared" si="202"/>
        <v>9.2303809419117009</v>
      </c>
      <c r="W516" s="327">
        <f t="shared" si="202"/>
        <v>9.1956710548436593</v>
      </c>
      <c r="X516" s="328">
        <f t="shared" si="202"/>
        <v>9.1535589446144279</v>
      </c>
      <c r="Y516" s="327">
        <f t="shared" si="202"/>
        <v>9.1044999039423011</v>
      </c>
      <c r="Z516" s="327">
        <f t="shared" si="202"/>
        <v>9.0489478248853761</v>
      </c>
      <c r="AA516" s="328">
        <f t="shared" si="202"/>
        <v>8.9873521795265283</v>
      </c>
      <c r="AB516" s="327">
        <f t="shared" si="202"/>
        <v>8.9201553620939915</v>
      </c>
      <c r="AC516" s="327">
        <f t="shared" si="202"/>
        <v>8.8744800898403859</v>
      </c>
      <c r="AD516" s="328">
        <f t="shared" si="202"/>
        <v>8.8240570095711277</v>
      </c>
    </row>
    <row r="517" spans="2:30" hidden="1" outlineLevel="1" x14ac:dyDescent="0.3"/>
    <row r="518" spans="2:30" hidden="1" outlineLevel="1" x14ac:dyDescent="0.3">
      <c r="B518" s="242"/>
      <c r="C518" s="242"/>
      <c r="D518" s="242"/>
      <c r="E518" s="242"/>
      <c r="F518" s="242"/>
      <c r="G518" s="331"/>
      <c r="H518" s="331"/>
      <c r="I518" s="331"/>
      <c r="J518" s="331"/>
      <c r="K518" s="331"/>
      <c r="L518" s="331"/>
      <c r="M518" s="331"/>
      <c r="N518" s="331"/>
      <c r="O518" s="331"/>
      <c r="P518" s="331"/>
      <c r="Q518" s="331"/>
      <c r="R518" s="331"/>
      <c r="S518" s="331"/>
      <c r="T518" s="331"/>
      <c r="U518" s="331"/>
      <c r="V518" s="331"/>
      <c r="W518" s="331"/>
      <c r="X518" s="331"/>
      <c r="Y518" s="331"/>
      <c r="Z518" s="331"/>
      <c r="AA518" s="331"/>
      <c r="AB518" s="331"/>
      <c r="AC518" s="331"/>
      <c r="AD518" s="331"/>
    </row>
    <row r="519" spans="2:30" hidden="1" outlineLevel="1" x14ac:dyDescent="0.3"/>
    <row r="520" spans="2:30" hidden="1" outlineLevel="1" x14ac:dyDescent="0.3">
      <c r="G520" s="343"/>
      <c r="H520" s="344"/>
      <c r="I520" s="344"/>
      <c r="J520" s="159">
        <f t="shared" ref="J520" si="203">J$5</f>
        <v>2026</v>
      </c>
      <c r="K520" s="344"/>
      <c r="L520" s="344"/>
      <c r="M520" s="344"/>
      <c r="N520" s="159">
        <v>2027</v>
      </c>
    </row>
    <row r="521" spans="2:30" hidden="1" outlineLevel="1" x14ac:dyDescent="0.3">
      <c r="F521" s="345"/>
      <c r="G521" s="346">
        <v>1</v>
      </c>
      <c r="H521" s="346">
        <v>2</v>
      </c>
      <c r="I521" s="346">
        <v>3</v>
      </c>
      <c r="J521" s="347">
        <v>4</v>
      </c>
      <c r="K521" s="346">
        <v>1</v>
      </c>
      <c r="L521" s="346">
        <v>2</v>
      </c>
      <c r="M521" s="346">
        <v>3</v>
      </c>
      <c r="N521" s="347">
        <v>4</v>
      </c>
      <c r="O521" s="297"/>
    </row>
    <row r="522" spans="2:30" hidden="1" outlineLevel="1" x14ac:dyDescent="0.3">
      <c r="B522" s="172" t="s">
        <v>345</v>
      </c>
    </row>
    <row r="523" spans="2:30" hidden="1" outlineLevel="1" x14ac:dyDescent="0.3">
      <c r="B523" s="174" t="s">
        <v>347</v>
      </c>
      <c r="G523" s="178">
        <f>SUM(G14:I14)/SUM(G10:I10)</f>
        <v>0.85051824069688098</v>
      </c>
      <c r="H523" s="178">
        <f>SUM(J14:L14)/SUM(J10:L10)</f>
        <v>0.84762514900540065</v>
      </c>
      <c r="I523" s="178">
        <f>SUM(M14:O14)/SUM(M10:O10)</f>
        <v>0.84496588247206106</v>
      </c>
      <c r="J523" s="178">
        <f>SUM(P14:R14)/SUM(P10:R10)</f>
        <v>0.8426146024498854</v>
      </c>
      <c r="K523" s="178">
        <f>SUM(S14:U14)/SUM(S10:U10)</f>
        <v>0.84334016575487269</v>
      </c>
      <c r="L523" s="178">
        <f>SUM(V14:X14)/SUM(V10:X10)</f>
        <v>0.84586955989590817</v>
      </c>
      <c r="M523" s="178">
        <f>SUM(Y14:AA14)/SUM(Y10:AA10)</f>
        <v>0.84830060853901834</v>
      </c>
      <c r="N523" s="178">
        <f>SUM(AB14:AD14)/SUM(AB10:AD10)</f>
        <v>0.85073638469788315</v>
      </c>
    </row>
    <row r="524" spans="2:30" hidden="1" outlineLevel="1" x14ac:dyDescent="0.3">
      <c r="B524" s="165" t="s">
        <v>336</v>
      </c>
      <c r="G524" s="348">
        <f>SUM(G507:I507)/SUM(G506:I506)</f>
        <v>7.2920808844548484</v>
      </c>
      <c r="H524" s="349">
        <f>SUM(J507:L507)/SUM(J506:L506)</f>
        <v>7.8629094631652876</v>
      </c>
      <c r="I524" s="349">
        <f>SUM(M507:O507)/SUM(M506:O506)</f>
        <v>8.3361012418409626</v>
      </c>
      <c r="J524" s="349">
        <f>SUM(P507:R507)/SUM(P506:R506)</f>
        <v>8.7074432198777796</v>
      </c>
      <c r="K524" s="349">
        <f>SUM(S507:U507)/SUM(S506:U506)</f>
        <v>8.4614376868976748</v>
      </c>
      <c r="L524" s="349">
        <f>SUM(V507:X507)/SUM(V506:X506)</f>
        <v>8.4892135235845174</v>
      </c>
      <c r="M524" s="349">
        <f>SUM(Y507:AA507)/SUM(Y506:AA506)</f>
        <v>8.453540391831579</v>
      </c>
      <c r="N524" s="350">
        <f>SUM(AB507:AD507)/SUM(AB506:AD506)</f>
        <v>8.3898827164989616</v>
      </c>
    </row>
    <row r="525" spans="2:30" hidden="1" outlineLevel="1" x14ac:dyDescent="0.3">
      <c r="B525" s="165" t="s">
        <v>337</v>
      </c>
      <c r="G525" s="351">
        <f>AVERAGE(G508:I508)*G523/AVERAGE(G510:I510)/1000</f>
        <v>44.831054731312527</v>
      </c>
      <c r="H525" s="309">
        <f>AVERAGE(J508:L508)*H523/AVERAGE(J510:L510)/1000</f>
        <v>44.947166912267775</v>
      </c>
      <c r="I525" s="309">
        <f>AVERAGE(M508:O508)*I523/AVERAGE(M510:O510)/1000</f>
        <v>45.075528474473124</v>
      </c>
      <c r="J525" s="309">
        <f>AVERAGE(P508:R508)*J523/AVERAGE(P510:R510)/1000</f>
        <v>45.220337493883306</v>
      </c>
      <c r="K525" s="309">
        <f>AVERAGE(S508:U508)*K523/AVERAGE(S510:U510)/1000</f>
        <v>50.691530325275316</v>
      </c>
      <c r="L525" s="309">
        <f>AVERAGE(V508:X508)*L523/AVERAGE(V510:X510)/1000</f>
        <v>51.302533521698834</v>
      </c>
      <c r="M525" s="309">
        <f>AVERAGE(Y508:AA508)*M523/AVERAGE(Y510:AA510)/1000</f>
        <v>51.914418529671408</v>
      </c>
      <c r="N525" s="352">
        <f>AVERAGE(AB508:AD508)*N523/AVERAGE(AB510:AD510)/1000</f>
        <v>52.533461968787677</v>
      </c>
    </row>
    <row r="526" spans="2:30" hidden="1" outlineLevel="1" x14ac:dyDescent="0.3">
      <c r="B526" s="165" t="s">
        <v>338</v>
      </c>
      <c r="E526" s="291" t="s">
        <v>343</v>
      </c>
      <c r="G526" s="353">
        <f>G525/G524</f>
        <v>6.1479096902069088</v>
      </c>
      <c r="H526" s="341">
        <f t="shared" ref="H526:N526" si="204">H525/H524</f>
        <v>5.716353103495341</v>
      </c>
      <c r="I526" s="341">
        <f t="shared" si="204"/>
        <v>5.4072673983645796</v>
      </c>
      <c r="J526" s="341">
        <f t="shared" si="204"/>
        <v>5.1932968555743315</v>
      </c>
      <c r="K526" s="341">
        <f t="shared" si="204"/>
        <v>5.9908885701267867</v>
      </c>
      <c r="L526" s="341">
        <f t="shared" si="204"/>
        <v>6.0432610605412904</v>
      </c>
      <c r="M526" s="341">
        <f t="shared" si="204"/>
        <v>6.1411451443273242</v>
      </c>
      <c r="N526" s="354">
        <f t="shared" si="204"/>
        <v>6.261525189795444</v>
      </c>
    </row>
    <row r="527" spans="2:30" hidden="1" outlineLevel="1" x14ac:dyDescent="0.3">
      <c r="B527" s="165" t="s">
        <v>339</v>
      </c>
      <c r="E527" s="291" t="s">
        <v>266</v>
      </c>
      <c r="G527" s="355">
        <f>G524/(AVERAGE(G508:I508)*G523/1000)</f>
        <v>8.1328455555626817</v>
      </c>
      <c r="H527" s="356">
        <f>H524/(AVERAGE(J508:L508)*H523/1000)</f>
        <v>8.746835455183275</v>
      </c>
      <c r="I527" s="356">
        <f>I524/(AVERAGE(M508:O508)*I523/1000)</f>
        <v>9.2468147617634777</v>
      </c>
      <c r="J527" s="356">
        <f>J524/(AVERAGE(P508:R508)*J523/1000)</f>
        <v>9.6277954814640481</v>
      </c>
      <c r="K527" s="356">
        <f>K524/(AVERAGE(S508:U508)*K523/1000)</f>
        <v>9.2733414927094575</v>
      </c>
      <c r="L527" s="356">
        <f>L524/(AVERAGE(V508:X508)*L523/1000)</f>
        <v>9.1929762753918656</v>
      </c>
      <c r="M527" s="356">
        <f>M524/(AVERAGE(Y508:AA508)*M523/1000)</f>
        <v>9.0464488706757127</v>
      </c>
      <c r="N527" s="357">
        <f>N524/(AVERAGE(AB508:AD508)*N523/1000)</f>
        <v>8.8725276784154374</v>
      </c>
    </row>
    <row r="528" spans="2:30" hidden="1" outlineLevel="1" x14ac:dyDescent="0.3">
      <c r="B528" s="165"/>
    </row>
    <row r="529" spans="1:30" hidden="1" outlineLevel="1" x14ac:dyDescent="0.3">
      <c r="G529" s="358">
        <v>2026</v>
      </c>
      <c r="H529" s="358">
        <v>2027</v>
      </c>
    </row>
    <row r="530" spans="1:30" hidden="1" outlineLevel="1" x14ac:dyDescent="0.3">
      <c r="B530" s="172" t="s">
        <v>346</v>
      </c>
    </row>
    <row r="531" spans="1:30" hidden="1" outlineLevel="1" x14ac:dyDescent="0.3">
      <c r="B531" s="174" t="s">
        <v>286</v>
      </c>
      <c r="G531" s="178">
        <f>SUM(G14:R14)/SUM(G10:R10)</f>
        <v>0.84623946521145454</v>
      </c>
      <c r="H531" s="178">
        <f>SUM(S14:AD14)/SUM(S10:AD10)</f>
        <v>0.84725646489491324</v>
      </c>
    </row>
    <row r="532" spans="1:30" hidden="1" outlineLevel="1" x14ac:dyDescent="0.3">
      <c r="B532" s="165" t="s">
        <v>336</v>
      </c>
      <c r="G532" s="348">
        <f>SUM(G507:R507)/SUM(G506:R506)</f>
        <v>8.0595936868082472</v>
      </c>
      <c r="H532" s="350">
        <f>SUM(S507:AD507)/SUM(S506:AD506)</f>
        <v>8.4471245943239133</v>
      </c>
    </row>
    <row r="533" spans="1:30" hidden="1" outlineLevel="1" x14ac:dyDescent="0.3">
      <c r="B533" s="165" t="s">
        <v>337</v>
      </c>
      <c r="G533" s="351">
        <f>AVERAGE(G508:R508)*G531/AVERAGE(G510:R510)/1000</f>
        <v>45.009387040715602</v>
      </c>
      <c r="H533" s="352">
        <f>AVERAGE(S508:AD508)*H531/AVERAGE(S510:AD510)/1000</f>
        <v>51.620668854666846</v>
      </c>
    </row>
    <row r="534" spans="1:30" hidden="1" outlineLevel="1" x14ac:dyDescent="0.3">
      <c r="B534" s="165" t="s">
        <v>338</v>
      </c>
      <c r="E534" s="291" t="s">
        <v>343</v>
      </c>
      <c r="G534" s="353">
        <f>G533/G532</f>
        <v>5.5845727203824067</v>
      </c>
      <c r="H534" s="354">
        <f>H533/H532</f>
        <v>6.1110343855178373</v>
      </c>
    </row>
    <row r="535" spans="1:30" hidden="1" outlineLevel="1" x14ac:dyDescent="0.3">
      <c r="B535" s="165" t="s">
        <v>339</v>
      </c>
      <c r="E535" s="291" t="s">
        <v>266</v>
      </c>
      <c r="G535" s="355">
        <f>G532/(AVERAGE(G508:R508)*G531/1000)</f>
        <v>8.9532364432307432</v>
      </c>
      <c r="H535" s="357">
        <f>H532/(AVERAGE(S508:AD508)*H531/1000)</f>
        <v>9.0910232295883091</v>
      </c>
    </row>
    <row r="536" spans="1:30" hidden="1" outlineLevel="1" x14ac:dyDescent="0.3"/>
    <row r="537" spans="1:30" hidden="1" outlineLevel="1" x14ac:dyDescent="0.3"/>
    <row r="538" spans="1:30" collapsed="1" x14ac:dyDescent="0.3"/>
    <row r="539" spans="1:30" ht="21" x14ac:dyDescent="0.3">
      <c r="A539" s="149" t="s">
        <v>33</v>
      </c>
      <c r="B539" s="152" t="s">
        <v>354</v>
      </c>
      <c r="C539" s="153"/>
      <c r="D539" s="153"/>
      <c r="E539" s="153"/>
      <c r="F539" s="153"/>
      <c r="G539" s="153"/>
      <c r="H539" s="153"/>
      <c r="I539" s="153"/>
      <c r="J539" s="153"/>
      <c r="K539" s="153"/>
      <c r="L539" s="153"/>
      <c r="M539" s="153"/>
      <c r="N539" s="153"/>
      <c r="O539" s="153"/>
      <c r="P539" s="153"/>
      <c r="Q539" s="153"/>
      <c r="R539" s="153"/>
      <c r="S539" s="153"/>
      <c r="T539" s="153"/>
      <c r="U539" s="153"/>
      <c r="V539" s="153"/>
      <c r="W539" s="153"/>
      <c r="X539" s="153"/>
      <c r="Y539" s="153"/>
      <c r="Z539" s="153"/>
      <c r="AA539" s="153"/>
      <c r="AB539" s="153"/>
      <c r="AC539" s="153"/>
      <c r="AD539" s="153"/>
    </row>
    <row r="540" spans="1:30" hidden="1" outlineLevel="1" x14ac:dyDescent="0.3"/>
    <row r="541" spans="1:30" hidden="1" outlineLevel="1" x14ac:dyDescent="0.3">
      <c r="B541" s="155" t="s">
        <v>24</v>
      </c>
    </row>
    <row r="542" spans="1:30" hidden="1" outlineLevel="1" x14ac:dyDescent="0.3">
      <c r="B542" s="155" t="str" cm="1">
        <f t="array" ref="B542">CONCATENATE("Model Running: ",INDEX(Inputs!$B$15:$B$17,Inputs!$D$8)," Drivers")</f>
        <v>Model Running: Base Case Drivers</v>
      </c>
      <c r="H542" s="359"/>
      <c r="AD542" s="149"/>
    </row>
    <row r="543" spans="1:30" hidden="1" outlineLevel="1" x14ac:dyDescent="0.3">
      <c r="B543" s="155"/>
      <c r="H543" s="359"/>
      <c r="AD543" s="149"/>
    </row>
    <row r="544" spans="1:30" hidden="1" outlineLevel="1" x14ac:dyDescent="0.3">
      <c r="B544" s="155"/>
      <c r="H544" s="359"/>
      <c r="AD544" s="149"/>
    </row>
    <row r="545" spans="2:30" hidden="1" outlineLevel="1" x14ac:dyDescent="0.3">
      <c r="B545" s="155"/>
      <c r="H545" s="359"/>
      <c r="AD545" s="149"/>
    </row>
    <row r="546" spans="2:30" hidden="1" outlineLevel="1" x14ac:dyDescent="0.3">
      <c r="B546" s="155"/>
      <c r="E546" s="172" t="str" cm="1">
        <f t="array" ref="E546">CONCATENATE(INDEX(Inputs!$B$15:$B$17,Inputs!$D$8)," Reference")</f>
        <v>Base Case Reference</v>
      </c>
      <c r="G546" s="402"/>
      <c r="I546" s="149"/>
      <c r="J546" s="149"/>
      <c r="K546" s="149"/>
      <c r="L546" s="149"/>
      <c r="M546" s="274" t="s">
        <v>357</v>
      </c>
      <c r="N546" s="149"/>
      <c r="AB546" s="149"/>
      <c r="AC546" s="149"/>
      <c r="AD546" s="149"/>
    </row>
    <row r="547" spans="2:30" hidden="1" outlineLevel="1" x14ac:dyDescent="0.3">
      <c r="E547" s="360" t="str">
        <f>E558</f>
        <v>Conversion Rate</v>
      </c>
      <c r="F547" s="360"/>
      <c r="G547" s="361">
        <f>AVERAGE(Inputs!R19:AC19)</f>
        <v>4.1999999999999989E-2</v>
      </c>
      <c r="I547" s="149"/>
      <c r="J547" s="149"/>
      <c r="K547" s="149"/>
      <c r="L547" s="149"/>
      <c r="M547" s="277" t="s">
        <v>4</v>
      </c>
      <c r="N547" s="212"/>
      <c r="Q547" s="273">
        <v>0</v>
      </c>
      <c r="AB547" s="149"/>
      <c r="AC547" s="149"/>
      <c r="AD547" s="149"/>
    </row>
    <row r="548" spans="2:30" hidden="1" outlineLevel="1" x14ac:dyDescent="0.3">
      <c r="E548" s="360" t="str">
        <f>C560</f>
        <v xml:space="preserve">Lead Growth </v>
      </c>
      <c r="F548" s="360"/>
      <c r="G548" s="361">
        <f>AVERAGE(Inputs!R13:AC13)</f>
        <v>2.4999999999999998E-2</v>
      </c>
      <c r="I548" s="149"/>
      <c r="J548" s="149"/>
      <c r="K548" s="149"/>
      <c r="L548" s="149"/>
      <c r="M548" s="277" t="s">
        <v>2</v>
      </c>
      <c r="N548" s="275"/>
      <c r="Q548" s="273">
        <v>0</v>
      </c>
      <c r="AB548" s="149"/>
      <c r="AC548" s="149"/>
      <c r="AD548" s="149"/>
    </row>
    <row r="549" spans="2:30" hidden="1" outlineLevel="1" x14ac:dyDescent="0.3">
      <c r="E549" s="360" t="s">
        <v>34</v>
      </c>
      <c r="F549" s="360"/>
      <c r="G549" s="361">
        <f>AVERAGE(Inputs!R25:AC25)</f>
        <v>2.9999999999999996E-3</v>
      </c>
      <c r="I549" s="149"/>
      <c r="J549" s="149"/>
      <c r="K549" s="149"/>
      <c r="L549" s="149"/>
      <c r="M549" s="277" t="s">
        <v>34</v>
      </c>
      <c r="N549" s="275"/>
      <c r="Q549" s="273">
        <v>0</v>
      </c>
      <c r="AB549" s="149"/>
      <c r="AC549" s="149"/>
      <c r="AD549" s="149"/>
    </row>
    <row r="550" spans="2:30" hidden="1" outlineLevel="1" x14ac:dyDescent="0.3">
      <c r="E550" s="360" t="s">
        <v>3</v>
      </c>
      <c r="F550" s="360"/>
      <c r="G550" s="361">
        <f>AVERAGE(Inputs!R31:AC31)</f>
        <v>1.7999999999999995E-2</v>
      </c>
      <c r="I550" s="149"/>
      <c r="J550" s="149"/>
      <c r="K550" s="149"/>
      <c r="L550" s="149"/>
      <c r="M550" s="277" t="s">
        <v>41</v>
      </c>
      <c r="N550" s="275"/>
      <c r="Q550" s="273">
        <v>0</v>
      </c>
      <c r="AB550" s="149"/>
      <c r="AC550" s="149"/>
      <c r="AD550" s="149"/>
    </row>
    <row r="551" spans="2:30" hidden="1" outlineLevel="1" x14ac:dyDescent="0.3">
      <c r="E551" s="360" t="s">
        <v>109</v>
      </c>
      <c r="F551" s="360"/>
      <c r="G551" s="361">
        <f>AVERAGE(Inputs!R91:AC91)</f>
        <v>0.13375000000000001</v>
      </c>
      <c r="I551" s="149"/>
      <c r="J551" s="149"/>
      <c r="K551" s="149"/>
      <c r="L551" s="149"/>
      <c r="M551" s="277" t="s">
        <v>42</v>
      </c>
      <c r="N551" s="275"/>
      <c r="Q551" s="273">
        <v>0</v>
      </c>
      <c r="AB551" s="149"/>
      <c r="AC551" s="149"/>
      <c r="AD551" s="149"/>
    </row>
    <row r="552" spans="2:30" hidden="1" outlineLevel="1" x14ac:dyDescent="0.3">
      <c r="E552" s="360"/>
      <c r="F552" s="360"/>
      <c r="G552" s="361"/>
      <c r="L552" s="272"/>
      <c r="AB552" s="149"/>
      <c r="AC552" s="149"/>
      <c r="AD552" s="149"/>
    </row>
    <row r="553" spans="2:30" hidden="1" outlineLevel="1" x14ac:dyDescent="0.3">
      <c r="E553" s="360"/>
      <c r="F553" s="360"/>
      <c r="G553" s="361"/>
      <c r="L553" s="272"/>
      <c r="AB553" s="149"/>
      <c r="AC553" s="149"/>
      <c r="AD553" s="149"/>
    </row>
    <row r="554" spans="2:30" hidden="1" outlineLevel="1" x14ac:dyDescent="0.3">
      <c r="K554" s="149"/>
      <c r="L554" s="149"/>
      <c r="M554" s="149"/>
      <c r="N554" s="149"/>
      <c r="AB554" s="149"/>
      <c r="AC554" s="149"/>
      <c r="AD554" s="149"/>
    </row>
    <row r="555" spans="2:30" ht="16.5" hidden="1" outlineLevel="1" x14ac:dyDescent="0.3">
      <c r="D555" s="257"/>
      <c r="E555" s="362" t="s">
        <v>348</v>
      </c>
      <c r="F555" s="363"/>
      <c r="G555" s="364"/>
      <c r="H555" s="365"/>
      <c r="I555" s="365"/>
      <c r="K555" s="149"/>
      <c r="L555" s="149"/>
      <c r="M555" s="362" t="s">
        <v>350</v>
      </c>
      <c r="N555" s="363"/>
      <c r="O555" s="364"/>
      <c r="P555" s="365"/>
      <c r="Q555" s="365"/>
      <c r="AB555" s="149"/>
      <c r="AC555" s="149"/>
      <c r="AD555" s="149"/>
    </row>
    <row r="556" spans="2:30" hidden="1" outlineLevel="1" x14ac:dyDescent="0.3">
      <c r="F556" s="366"/>
      <c r="G556" s="366"/>
      <c r="H556" s="367"/>
      <c r="I556" s="367"/>
      <c r="K556" s="149"/>
      <c r="L556" s="149"/>
      <c r="M556" s="149"/>
      <c r="N556" s="366"/>
      <c r="O556" s="366"/>
      <c r="P556" s="367"/>
      <c r="Q556" s="367"/>
      <c r="AB556" s="149"/>
      <c r="AC556" s="149"/>
      <c r="AD556" s="149"/>
    </row>
    <row r="557" spans="2:30" hidden="1" outlineLevel="1" x14ac:dyDescent="0.3">
      <c r="F557" s="244"/>
      <c r="G557" s="244"/>
      <c r="H557" s="297"/>
      <c r="I557" s="297"/>
      <c r="K557" s="149"/>
      <c r="L557" s="149"/>
      <c r="M557" s="149"/>
      <c r="N557" s="244"/>
      <c r="O557" s="244"/>
      <c r="P557" s="297"/>
      <c r="Q557" s="297"/>
      <c r="AB557" s="149"/>
      <c r="AC557" s="149"/>
      <c r="AD557" s="149"/>
    </row>
    <row r="558" spans="2:30" hidden="1" outlineLevel="1" x14ac:dyDescent="0.3">
      <c r="E558" s="368" t="s">
        <v>2</v>
      </c>
      <c r="F558" s="257"/>
      <c r="G558" s="257"/>
      <c r="H558" s="369"/>
      <c r="I558" s="369"/>
      <c r="K558" s="149"/>
      <c r="L558" s="149"/>
      <c r="M558" s="390" t="s">
        <v>34</v>
      </c>
      <c r="N558" s="391"/>
      <c r="O558" s="391"/>
      <c r="P558" s="391"/>
      <c r="Q558" s="391"/>
      <c r="AB558" s="149"/>
      <c r="AC558" s="149"/>
      <c r="AD558" s="149"/>
    </row>
    <row r="559" spans="2:30" hidden="1" outlineLevel="1" x14ac:dyDescent="0.3">
      <c r="D559" s="375">
        <f>AD163</f>
        <v>17536.107734859459</v>
      </c>
      <c r="E559" s="386">
        <v>-0.01</v>
      </c>
      <c r="F559" s="386">
        <v>-5.0000000000000001E-3</v>
      </c>
      <c r="G559" s="389">
        <v>0</v>
      </c>
      <c r="H559" s="387">
        <v>5.0000000000000001E-3</v>
      </c>
      <c r="I559" s="387">
        <v>0.01</v>
      </c>
      <c r="J559" s="371"/>
      <c r="K559" s="370"/>
      <c r="L559" s="403">
        <f>SUM(S22:AD22)/SUM(S10:AD10)</f>
        <v>-2.8590124926253641E-2</v>
      </c>
      <c r="M559" s="386">
        <f>N559-0.001</f>
        <v>-2E-3</v>
      </c>
      <c r="N559" s="386">
        <f>O559-0.001</f>
        <v>-1E-3</v>
      </c>
      <c r="O559" s="386">
        <f>G559</f>
        <v>0</v>
      </c>
      <c r="P559" s="387">
        <f>O559+0.001</f>
        <v>1E-3</v>
      </c>
      <c r="Q559" s="387">
        <f>P559+0.001</f>
        <v>2E-3</v>
      </c>
      <c r="AB559" s="149"/>
      <c r="AC559" s="149"/>
      <c r="AD559" s="149"/>
    </row>
    <row r="560" spans="2:30" ht="15" hidden="1" customHeight="1" outlineLevel="1" x14ac:dyDescent="0.3">
      <c r="C560" s="609" t="s">
        <v>349</v>
      </c>
      <c r="D560" s="271">
        <v>-0.01</v>
      </c>
      <c r="E560" s="393">
        <f t="dataTable" ref="E560:I564" dt2D="1" dtr="1" r1="Q548" r2="Q547" ca="1"/>
        <v>15431.932813735895</v>
      </c>
      <c r="F560" s="394">
        <v>16315.651555912527</v>
      </c>
      <c r="G560" s="394">
        <v>17111.266207507982</v>
      </c>
      <c r="H560" s="394">
        <v>17827.747276938142</v>
      </c>
      <c r="I560" s="395">
        <v>18473.167272008424</v>
      </c>
      <c r="K560" s="609" t="s">
        <v>3</v>
      </c>
      <c r="L560" s="388">
        <f>L561+0.002</f>
        <v>4.0000000000000001E-3</v>
      </c>
      <c r="M560" s="376">
        <f t="dataTable" ref="M560:Q564" dt2D="1" dtr="1" r1="Q549" r2="Q550" ca="1"/>
        <v>-0.1001597275498583</v>
      </c>
      <c r="N560" s="377">
        <v>-8.4896256708296661E-2</v>
      </c>
      <c r="O560" s="377">
        <v>-6.9920524594604364E-2</v>
      </c>
      <c r="P560" s="377">
        <v>-5.5227003756392869E-2</v>
      </c>
      <c r="Q560" s="378">
        <v>-4.0810274826172326E-2</v>
      </c>
      <c r="AB560" s="149"/>
      <c r="AC560" s="149"/>
      <c r="AD560" s="149"/>
    </row>
    <row r="561" spans="2:30" hidden="1" outlineLevel="1" x14ac:dyDescent="0.3">
      <c r="C561" s="609"/>
      <c r="D561" s="271">
        <v>-5.0000000000000001E-3</v>
      </c>
      <c r="E561" s="396">
        <v>15596.318269336034</v>
      </c>
      <c r="F561" s="397">
        <v>16501.334861514173</v>
      </c>
      <c r="G561" s="397">
        <v>17317.210385215203</v>
      </c>
      <c r="H561" s="397">
        <v>18052.975254599653</v>
      </c>
      <c r="I561" s="398">
        <v>18716.75813560692</v>
      </c>
      <c r="K561" s="609"/>
      <c r="L561" s="388">
        <f>L562+0.002</f>
        <v>2E-3</v>
      </c>
      <c r="M561" s="379">
        <v>-7.8500760589651816E-2</v>
      </c>
      <c r="N561" s="380">
        <v>-6.3628721413862444E-2</v>
      </c>
      <c r="O561" s="380">
        <v>-4.9037215555605876E-2</v>
      </c>
      <c r="P561" s="380">
        <v>-3.4720850485668336E-2</v>
      </c>
      <c r="Q561" s="381">
        <v>-2.0674339187711627E-2</v>
      </c>
      <c r="AB561" s="149"/>
      <c r="AC561" s="149"/>
      <c r="AD561" s="149"/>
    </row>
    <row r="562" spans="2:30" hidden="1" outlineLevel="1" x14ac:dyDescent="0.3">
      <c r="C562" s="609"/>
      <c r="D562" s="272">
        <v>0</v>
      </c>
      <c r="E562" s="396">
        <v>15770.93668995077</v>
      </c>
      <c r="F562" s="397">
        <v>16698.636931589477</v>
      </c>
      <c r="G562" s="392">
        <v>17536.107734859459</v>
      </c>
      <c r="H562" s="397">
        <v>18292.441760298589</v>
      </c>
      <c r="I562" s="398">
        <v>18975.826054297333</v>
      </c>
      <c r="K562" s="609"/>
      <c r="L562" s="271">
        <f>D562</f>
        <v>0</v>
      </c>
      <c r="M562" s="379">
        <v>-5.7293992965646724E-2</v>
      </c>
      <c r="N562" s="380">
        <v>-4.2805321862607416E-2</v>
      </c>
      <c r="O562" s="382">
        <v>-2.8590124926253641E-2</v>
      </c>
      <c r="P562" s="380">
        <v>-1.4643141849671928E-2</v>
      </c>
      <c r="Q562" s="381">
        <v>-9.5921531767497934E-4</v>
      </c>
      <c r="AB562" s="149"/>
      <c r="AC562" s="149"/>
      <c r="AD562" s="149"/>
    </row>
    <row r="563" spans="2:30" hidden="1" outlineLevel="1" x14ac:dyDescent="0.3">
      <c r="C563" s="609"/>
      <c r="D563" s="388">
        <v>5.0000000000000001E-3</v>
      </c>
      <c r="E563" s="396">
        <v>15956.491553862561</v>
      </c>
      <c r="F563" s="397">
        <v>16908.359330110346</v>
      </c>
      <c r="G563" s="397">
        <v>17768.855007757607</v>
      </c>
      <c r="H563" s="397">
        <v>18547.135941807086</v>
      </c>
      <c r="I563" s="398">
        <v>19251.449884379595</v>
      </c>
      <c r="K563" s="609"/>
      <c r="L563" s="271">
        <f>L562-0.002</f>
        <v>-2E-3</v>
      </c>
      <c r="M563" s="379">
        <v>-3.6535213250392093E-2</v>
      </c>
      <c r="N563" s="380">
        <v>-2.2421925786942899E-2</v>
      </c>
      <c r="O563" s="380">
        <v>-8.575198083096057E-3</v>
      </c>
      <c r="P563" s="380">
        <v>5.0101006170773068E-3</v>
      </c>
      <c r="Q563" s="381">
        <v>1.83390005486378E-2</v>
      </c>
      <c r="AB563" s="149"/>
      <c r="AC563" s="149"/>
      <c r="AD563" s="149"/>
    </row>
    <row r="564" spans="2:30" hidden="1" outlineLevel="1" x14ac:dyDescent="0.3">
      <c r="C564" s="609"/>
      <c r="D564" s="388">
        <v>0.01</v>
      </c>
      <c r="E564" s="399">
        <v>16153.736405141221</v>
      </c>
      <c r="F564" s="400">
        <v>17131.360814909418</v>
      </c>
      <c r="G564" s="400">
        <v>18016.413104696072</v>
      </c>
      <c r="H564" s="400">
        <v>18818.11788482179</v>
      </c>
      <c r="I564" s="401">
        <v>19544.786046504025</v>
      </c>
      <c r="K564" s="609"/>
      <c r="L564" s="271">
        <f>L563-0.002</f>
        <v>-4.0000000000000001E-3</v>
      </c>
      <c r="M564" s="383">
        <v>-1.6220018224987517E-2</v>
      </c>
      <c r="N564" s="384">
        <v>-2.4742120844551173E-3</v>
      </c>
      <c r="O564" s="384">
        <v>1.1011805520768747E-2</v>
      </c>
      <c r="P564" s="384">
        <v>2.4243038436682362E-2</v>
      </c>
      <c r="Q564" s="385">
        <v>3.7224392409590211E-2</v>
      </c>
      <c r="AB564" s="149"/>
      <c r="AC564" s="149"/>
      <c r="AD564" s="149"/>
    </row>
    <row r="565" spans="2:30" hidden="1" outlineLevel="1" x14ac:dyDescent="0.3">
      <c r="B565" s="374"/>
      <c r="E565" s="372"/>
      <c r="F565" s="372"/>
      <c r="G565" s="372"/>
      <c r="H565" s="372"/>
      <c r="I565" s="372"/>
      <c r="AB565" s="149"/>
      <c r="AC565" s="149"/>
      <c r="AD565" s="149"/>
    </row>
    <row r="566" spans="2:30" hidden="1" outlineLevel="1" x14ac:dyDescent="0.3">
      <c r="E566" s="149" t="s">
        <v>353</v>
      </c>
      <c r="F566" s="149" t="s">
        <v>356</v>
      </c>
      <c r="M566" s="196" t="s">
        <v>353</v>
      </c>
      <c r="N566" s="196" t="s">
        <v>351</v>
      </c>
      <c r="AC566" s="149"/>
      <c r="AD566" s="149"/>
    </row>
    <row r="567" spans="2:30" hidden="1" outlineLevel="1" x14ac:dyDescent="0.3">
      <c r="AC567" s="149"/>
      <c r="AD567" s="149"/>
    </row>
    <row r="568" spans="2:30" hidden="1" outlineLevel="1" x14ac:dyDescent="0.3">
      <c r="AC568" s="149"/>
      <c r="AD568" s="149"/>
    </row>
    <row r="569" spans="2:30" hidden="1" outlineLevel="1" x14ac:dyDescent="0.3">
      <c r="AC569" s="149"/>
      <c r="AD569" s="149"/>
    </row>
    <row r="570" spans="2:30" ht="16.5" hidden="1" outlineLevel="1" x14ac:dyDescent="0.3">
      <c r="D570" s="257"/>
      <c r="E570" s="362" t="s">
        <v>352</v>
      </c>
      <c r="F570" s="363"/>
      <c r="G570" s="364"/>
      <c r="H570" s="365"/>
      <c r="I570" s="365"/>
      <c r="AC570" s="149"/>
      <c r="AD570" s="149"/>
    </row>
    <row r="571" spans="2:30" hidden="1" outlineLevel="1" x14ac:dyDescent="0.3">
      <c r="F571" s="366"/>
      <c r="G571" s="366"/>
      <c r="H571" s="367"/>
      <c r="I571" s="367"/>
      <c r="M571" s="178"/>
      <c r="N571" s="178"/>
      <c r="O571" s="178"/>
      <c r="P571" s="178"/>
      <c r="Q571" s="178"/>
      <c r="AC571" s="149"/>
      <c r="AD571" s="149"/>
    </row>
    <row r="572" spans="2:30" hidden="1" outlineLevel="1" x14ac:dyDescent="0.3">
      <c r="F572" s="244"/>
      <c r="G572" s="244"/>
      <c r="H572" s="297"/>
      <c r="I572" s="297"/>
      <c r="L572" s="178"/>
      <c r="M572" s="149"/>
      <c r="N572" s="149"/>
      <c r="O572" s="149"/>
      <c r="R572" s="373"/>
      <c r="AC572" s="149"/>
      <c r="AD572" s="149"/>
    </row>
    <row r="573" spans="2:30" hidden="1" outlineLevel="1" x14ac:dyDescent="0.3">
      <c r="E573" s="368" t="s">
        <v>42</v>
      </c>
      <c r="F573" s="257"/>
      <c r="G573" s="257"/>
      <c r="H573" s="369"/>
      <c r="I573" s="369"/>
      <c r="L573" s="178"/>
      <c r="M573" s="149"/>
      <c r="N573" s="149"/>
      <c r="O573" s="149"/>
      <c r="R573" s="373"/>
      <c r="AC573" s="149"/>
      <c r="AD573" s="149"/>
    </row>
    <row r="574" spans="2:30" hidden="1" outlineLevel="1" x14ac:dyDescent="0.3">
      <c r="D574" s="375">
        <f ca="1">AD338</f>
        <v>3655.8764981690233</v>
      </c>
      <c r="E574" s="387">
        <f>F574+0.01</f>
        <v>0.02</v>
      </c>
      <c r="F574" s="387">
        <f>G574+0.01</f>
        <v>0.01</v>
      </c>
      <c r="G574" s="386">
        <f>G559</f>
        <v>0</v>
      </c>
      <c r="H574" s="386">
        <f>G574-0.01</f>
        <v>-0.01</v>
      </c>
      <c r="I574" s="386">
        <f>H574-0.01</f>
        <v>-0.02</v>
      </c>
      <c r="L574" s="178"/>
      <c r="M574" s="149"/>
      <c r="N574" s="149"/>
      <c r="O574" s="149"/>
      <c r="R574" s="373"/>
      <c r="AC574" s="149"/>
      <c r="AD574" s="149"/>
    </row>
    <row r="575" spans="2:30" ht="15" hidden="1" customHeight="1" outlineLevel="1" x14ac:dyDescent="0.3">
      <c r="C575" s="609" t="s">
        <v>3</v>
      </c>
      <c r="D575" s="388">
        <f>D576+0.002</f>
        <v>4.0000000000000001E-3</v>
      </c>
      <c r="E575" s="393">
        <f t="dataTable" ref="E575:I579" dt2D="1" dtr="1" r1="Q551" r2="Q550" ca="1"/>
        <v>2125.0911454850425</v>
      </c>
      <c r="F575" s="394">
        <v>2378.2421812339981</v>
      </c>
      <c r="G575" s="394">
        <v>2631.3932169829459</v>
      </c>
      <c r="H575" s="394">
        <v>2884.5442527318928</v>
      </c>
      <c r="I575" s="395">
        <v>3137.6952884808393</v>
      </c>
      <c r="L575" s="178"/>
      <c r="M575" s="149"/>
      <c r="N575" s="149"/>
      <c r="O575" s="149"/>
      <c r="R575" s="373"/>
      <c r="AC575" s="149"/>
      <c r="AD575" s="149"/>
    </row>
    <row r="576" spans="2:30" hidden="1" outlineLevel="1" x14ac:dyDescent="0.3">
      <c r="C576" s="609"/>
      <c r="D576" s="388">
        <f>D577+0.002</f>
        <v>2E-3</v>
      </c>
      <c r="E576" s="396">
        <v>2620.8792362935105</v>
      </c>
      <c r="F576" s="397">
        <v>2878.8424710092245</v>
      </c>
      <c r="G576" s="397">
        <v>3136.805705724702</v>
      </c>
      <c r="H576" s="397">
        <v>3394.7689404401804</v>
      </c>
      <c r="I576" s="398">
        <v>3652.0150097756564</v>
      </c>
      <c r="L576" s="178"/>
      <c r="M576" s="149"/>
      <c r="N576" s="149"/>
      <c r="O576" s="149"/>
      <c r="R576" s="373"/>
      <c r="AC576" s="149"/>
      <c r="AD576" s="149"/>
    </row>
    <row r="577" spans="3:30" hidden="1" outlineLevel="1" x14ac:dyDescent="0.3">
      <c r="C577" s="609"/>
      <c r="D577" s="271">
        <f>D562</f>
        <v>0</v>
      </c>
      <c r="E577" s="396">
        <v>3132.0443330259732</v>
      </c>
      <c r="F577" s="397">
        <v>3394.9458004842372</v>
      </c>
      <c r="G577" s="392">
        <v>3655.8764981690592</v>
      </c>
      <c r="H577" s="397">
        <v>3911.9304103979443</v>
      </c>
      <c r="I577" s="398">
        <v>4163.1275270995748</v>
      </c>
      <c r="L577" s="149"/>
      <c r="M577" s="178"/>
      <c r="N577" s="178"/>
      <c r="O577" s="178"/>
      <c r="P577" s="178"/>
      <c r="Q577" s="178"/>
      <c r="AC577" s="149"/>
      <c r="AD577" s="149"/>
    </row>
    <row r="578" spans="3:30" hidden="1" outlineLevel="1" x14ac:dyDescent="0.3">
      <c r="C578" s="609"/>
      <c r="D578" s="271">
        <f>D577-0.002</f>
        <v>-2E-3</v>
      </c>
      <c r="E578" s="396">
        <v>3656.0364245456208</v>
      </c>
      <c r="F578" s="397">
        <v>3915.3460706128635</v>
      </c>
      <c r="G578" s="397">
        <v>4170.7170653881558</v>
      </c>
      <c r="H578" s="397">
        <v>4422.335439518738</v>
      </c>
      <c r="I578" s="398">
        <v>4670.3258348506133</v>
      </c>
      <c r="AC578" s="149"/>
      <c r="AD578" s="149"/>
    </row>
    <row r="579" spans="3:30" hidden="1" outlineLevel="1" x14ac:dyDescent="0.3">
      <c r="C579" s="609"/>
      <c r="D579" s="271">
        <f>D578-0.002</f>
        <v>-4.0000000000000001E-3</v>
      </c>
      <c r="E579" s="399">
        <v>4175.1068704709296</v>
      </c>
      <c r="F579" s="400">
        <v>4431.2479387262911</v>
      </c>
      <c r="G579" s="400">
        <v>4683.844679753689</v>
      </c>
      <c r="H579" s="400">
        <v>4933.036577769667</v>
      </c>
      <c r="I579" s="401">
        <v>5178.9535016716382</v>
      </c>
      <c r="AC579" s="149"/>
      <c r="AD579" s="149"/>
    </row>
    <row r="580" spans="3:30" hidden="1" outlineLevel="1" x14ac:dyDescent="0.3">
      <c r="E580" s="372"/>
      <c r="F580" s="372"/>
      <c r="G580" s="372"/>
      <c r="H580" s="372"/>
      <c r="I580" s="372"/>
      <c r="AC580" s="149"/>
      <c r="AD580" s="149"/>
    </row>
    <row r="581" spans="3:30" hidden="1" outlineLevel="1" x14ac:dyDescent="0.3">
      <c r="E581" s="149" t="s">
        <v>353</v>
      </c>
      <c r="F581" s="149" t="s">
        <v>355</v>
      </c>
      <c r="AC581" s="149"/>
      <c r="AD581" s="149"/>
    </row>
    <row r="582" spans="3:30" hidden="1" outlineLevel="1" x14ac:dyDescent="0.3"/>
    <row r="583" spans="3:30" hidden="1" outlineLevel="1" x14ac:dyDescent="0.3"/>
    <row r="584" spans="3:30" hidden="1" outlineLevel="1" x14ac:dyDescent="0.3"/>
    <row r="585" spans="3:30" hidden="1" outlineLevel="1" x14ac:dyDescent="0.3">
      <c r="Q585" s="337" t="str" cm="1">
        <f t="array" ref="Q585">CONCATENATE("Sensitivity ranges shown as percentage-point adjustments vs. ",INDEX(Inputs!$B$15:$B$17,Inputs!$D$8),)</f>
        <v>Sensitivity ranges shown as percentage-point adjustments vs. Base Case</v>
      </c>
    </row>
    <row r="586" spans="3:30" hidden="1" outlineLevel="1" x14ac:dyDescent="0.3"/>
    <row r="587" spans="3:30" hidden="1" outlineLevel="1" x14ac:dyDescent="0.3"/>
    <row r="588" spans="3:30" collapsed="1" x14ac:dyDescent="0.3"/>
  </sheetData>
  <mergeCells count="3">
    <mergeCell ref="C560:C564"/>
    <mergeCell ref="K560:K564"/>
    <mergeCell ref="C575:C579"/>
  </mergeCells>
  <conditionalFormatting sqref="G166:AD166">
    <cfRule type="expression" dxfId="9" priority="16">
      <formula>G$166=1</formula>
    </cfRule>
  </conditionalFormatting>
  <conditionalFormatting sqref="G263:AD263">
    <cfRule type="expression" dxfId="8" priority="15">
      <formula>G$263=1</formula>
    </cfRule>
  </conditionalFormatting>
  <conditionalFormatting sqref="G264:AD264">
    <cfRule type="expression" dxfId="7" priority="14">
      <formula>G$264=1</formula>
    </cfRule>
  </conditionalFormatting>
  <conditionalFormatting sqref="G354">
    <cfRule type="expression" dxfId="6" priority="12">
      <formula>$G$354 = 0</formula>
    </cfRule>
  </conditionalFormatting>
  <conditionalFormatting sqref="G355">
    <cfRule type="expression" dxfId="5" priority="11">
      <formula>$G355&lt;&gt;0</formula>
    </cfRule>
  </conditionalFormatting>
  <conditionalFormatting sqref="G345:AD349">
    <cfRule type="expression" dxfId="4" priority="9">
      <formula>G345&lt;&gt;0</formula>
    </cfRule>
  </conditionalFormatting>
  <conditionalFormatting sqref="G118:AD118">
    <cfRule type="expression" dxfId="3" priority="8">
      <formula>G$118&lt;&gt;0</formula>
    </cfRule>
  </conditionalFormatting>
  <conditionalFormatting sqref="G422:AD423">
    <cfRule type="expression" dxfId="2" priority="7">
      <formula>G422&lt;&gt;0</formula>
    </cfRule>
  </conditionalFormatting>
  <conditionalFormatting sqref="G464:AD464">
    <cfRule type="expression" dxfId="1" priority="6">
      <formula>G$464</formula>
    </cfRule>
  </conditionalFormatting>
  <conditionalFormatting sqref="G78:AD78">
    <cfRule type="expression" dxfId="0" priority="5">
      <formula>G$78&lt;&gt;0</formula>
    </cfRule>
  </conditionalFormatting>
  <conditionalFormatting sqref="E575:I57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60:I56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560:Q56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25869-9412-4068-8434-CA21C3B19722}">
  <dimension ref="A1:AK289"/>
  <sheetViews>
    <sheetView showGridLines="0" zoomScaleNormal="100" workbookViewId="0">
      <selection activeCell="J260" sqref="J260"/>
    </sheetView>
  </sheetViews>
  <sheetFormatPr defaultRowHeight="15" outlineLevelRow="1" x14ac:dyDescent="0.3"/>
  <cols>
    <col min="1" max="1" width="4.28515625" customWidth="1"/>
    <col min="3" max="3" width="11.28515625" customWidth="1"/>
    <col min="5" max="5" width="10.28515625" bestFit="1" customWidth="1"/>
    <col min="6" max="6" width="10.7109375" customWidth="1"/>
    <col min="7" max="8" width="10.85546875" customWidth="1"/>
    <col min="9" max="9" width="11" style="54" customWidth="1"/>
    <col min="10" max="15" width="10.28515625" style="54" customWidth="1"/>
    <col min="16" max="16" width="11" style="54" customWidth="1"/>
    <col min="17" max="18" width="10.28515625" style="54" customWidth="1"/>
    <col min="20" max="20" width="9.42578125" customWidth="1"/>
  </cols>
  <sheetData>
    <row r="1" spans="1:37" s="149" customFormat="1" ht="57.75" customHeight="1" x14ac:dyDescent="0.3">
      <c r="B1" s="150" t="s">
        <v>369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/>
      <c r="U1"/>
      <c r="V1"/>
      <c r="W1"/>
      <c r="X1"/>
      <c r="Y1"/>
      <c r="Z1"/>
      <c r="AA1"/>
      <c r="AB1"/>
      <c r="AC1"/>
      <c r="AD1"/>
    </row>
    <row r="2" spans="1:37" s="149" customFormat="1" ht="15" customHeight="1" x14ac:dyDescent="0.3">
      <c r="T2"/>
      <c r="U2"/>
      <c r="V2"/>
      <c r="W2"/>
      <c r="X2"/>
      <c r="Y2"/>
      <c r="Z2"/>
      <c r="AA2"/>
      <c r="AB2"/>
      <c r="AC2"/>
      <c r="AD2"/>
    </row>
    <row r="3" spans="1:37" s="149" customFormat="1" ht="19.5" customHeight="1" x14ac:dyDescent="0.3">
      <c r="A3" s="149" t="s">
        <v>33</v>
      </c>
      <c r="B3" s="152" t="s">
        <v>425</v>
      </c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  <c r="P3" s="153"/>
      <c r="Q3" s="153"/>
      <c r="R3" s="153"/>
      <c r="S3" s="15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</row>
    <row r="4" spans="1:37" hidden="1" outlineLevel="1" x14ac:dyDescent="0.3">
      <c r="I4"/>
      <c r="J4"/>
      <c r="K4"/>
      <c r="L4"/>
      <c r="M4"/>
      <c r="N4"/>
      <c r="O4"/>
      <c r="P4"/>
      <c r="Q4"/>
      <c r="R4"/>
    </row>
    <row r="5" spans="1:37" hidden="1" outlineLevel="1" x14ac:dyDescent="0.3">
      <c r="B5" s="155" t="s">
        <v>24</v>
      </c>
      <c r="C5" s="149"/>
      <c r="D5" s="149"/>
      <c r="E5" s="149"/>
      <c r="I5"/>
      <c r="J5"/>
      <c r="K5"/>
      <c r="L5"/>
      <c r="M5"/>
      <c r="N5"/>
      <c r="O5"/>
      <c r="P5"/>
      <c r="Q5"/>
      <c r="R5"/>
    </row>
    <row r="6" spans="1:37" ht="15.75" hidden="1" outlineLevel="1" thickBot="1" x14ac:dyDescent="0.35">
      <c r="B6" s="155" t="str" cm="1">
        <f t="array" ref="B6">CONCATENATE("Model Running: ",INDEX(Inputs!$B$15:$B$17,Inputs!$D$8)," Drivers")</f>
        <v>Model Running: Base Case Drivers</v>
      </c>
      <c r="C6" s="149"/>
      <c r="D6" s="149"/>
      <c r="E6" s="149"/>
      <c r="I6"/>
      <c r="J6"/>
      <c r="K6"/>
      <c r="L6"/>
      <c r="M6"/>
      <c r="N6"/>
      <c r="O6"/>
      <c r="P6"/>
      <c r="Q6"/>
      <c r="R6"/>
    </row>
    <row r="7" spans="1:37" hidden="1" outlineLevel="1" x14ac:dyDescent="0.3">
      <c r="I7" s="409">
        <v>2026</v>
      </c>
      <c r="J7" s="409">
        <f>I7+1</f>
        <v>2027</v>
      </c>
      <c r="K7" s="409">
        <f t="shared" ref="K7:R7" si="0">J7+1</f>
        <v>2028</v>
      </c>
      <c r="L7" s="409">
        <f t="shared" si="0"/>
        <v>2029</v>
      </c>
      <c r="M7" s="409">
        <f t="shared" si="0"/>
        <v>2030</v>
      </c>
      <c r="N7" s="409">
        <f t="shared" si="0"/>
        <v>2031</v>
      </c>
      <c r="O7" s="409">
        <f t="shared" si="0"/>
        <v>2032</v>
      </c>
      <c r="P7" s="409">
        <f t="shared" si="0"/>
        <v>2033</v>
      </c>
      <c r="Q7" s="409">
        <f t="shared" si="0"/>
        <v>2034</v>
      </c>
      <c r="R7" s="409">
        <f t="shared" si="0"/>
        <v>2035</v>
      </c>
      <c r="S7" s="412" t="s">
        <v>377</v>
      </c>
    </row>
    <row r="8" spans="1:37" hidden="1" outlineLevel="1" x14ac:dyDescent="0.3">
      <c r="I8"/>
      <c r="J8"/>
      <c r="K8"/>
      <c r="L8"/>
      <c r="M8"/>
      <c r="N8"/>
      <c r="O8"/>
      <c r="P8"/>
      <c r="Q8"/>
      <c r="R8"/>
    </row>
    <row r="9" spans="1:37" hidden="1" outlineLevel="1" x14ac:dyDescent="0.3"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</row>
    <row r="10" spans="1:37" hidden="1" outlineLevel="1" x14ac:dyDescent="0.3">
      <c r="B10" t="s">
        <v>159</v>
      </c>
      <c r="I10" s="54">
        <f>IF(I55&lt;&gt;0,I55,H10*(1+Inputs!D133))</f>
        <v>12275.187310817568</v>
      </c>
      <c r="J10" s="54">
        <f>IF(J55&lt;&gt;0,J55,I10*(1+Inputs!E133))</f>
        <v>15669.476576020183</v>
      </c>
      <c r="K10" s="54">
        <f>IF(K55&lt;&gt;0,K55,J10*(1+Inputs!F133))</f>
        <v>19273.456188504824</v>
      </c>
      <c r="L10" s="54">
        <f>IF(L55&lt;&gt;0,L55,K10*(1+Inputs!G133))</f>
        <v>22935.41286432074</v>
      </c>
      <c r="M10" s="54">
        <f>IF(M55&lt;&gt;0,M55,L10*(1+Inputs!H133))</f>
        <v>26605.078922612058</v>
      </c>
      <c r="N10" s="54">
        <f>IF(N55&lt;&gt;0,N55,M10*(1+Inputs!I133))</f>
        <v>30063.739182551624</v>
      </c>
      <c r="O10" s="54">
        <f>IF(O55&lt;&gt;0,O55,N10*(1+Inputs!J133))</f>
        <v>33070.11310080679</v>
      </c>
      <c r="P10" s="54">
        <f>IF(P55&lt;&gt;0,P55,O10*(1+Inputs!K133))</f>
        <v>35715.722148871333</v>
      </c>
      <c r="Q10" s="54">
        <f>IF(Q55&lt;&gt;0,Q55,P10*(1+Inputs!L133))</f>
        <v>37858.665477803617</v>
      </c>
      <c r="R10" s="54">
        <f>IF(R55&lt;&gt;0,R55,Q10*(1+Inputs!M133))</f>
        <v>39373.012096915765</v>
      </c>
      <c r="S10" s="54">
        <f>IF(S55&lt;&gt;0,S55,R10*(1+Inputs!N133))</f>
        <v>40357.337399338656</v>
      </c>
    </row>
    <row r="11" spans="1:37" hidden="1" outlineLevel="1" x14ac:dyDescent="0.3">
      <c r="B11" t="s">
        <v>187</v>
      </c>
      <c r="I11" s="459">
        <f>I12-I10</f>
        <v>-1887.4393655408767</v>
      </c>
      <c r="J11" s="459">
        <f t="shared" ref="J11:S11" si="1">J12-J10</f>
        <v>-2393.4112454676742</v>
      </c>
      <c r="K11" s="459">
        <f t="shared" si="1"/>
        <v>-2794.6511473331993</v>
      </c>
      <c r="L11" s="459">
        <f t="shared" si="1"/>
        <v>-3210.9578010049045</v>
      </c>
      <c r="M11" s="459">
        <f t="shared" si="1"/>
        <v>-3591.685654552628</v>
      </c>
      <c r="N11" s="459">
        <f t="shared" si="1"/>
        <v>-3908.2860937317128</v>
      </c>
      <c r="O11" s="459">
        <f t="shared" si="1"/>
        <v>-4299.1147031048822</v>
      </c>
      <c r="P11" s="459">
        <f t="shared" si="1"/>
        <v>-4643.043879353274</v>
      </c>
      <c r="Q11" s="459">
        <f t="shared" si="1"/>
        <v>-4921.6265121144679</v>
      </c>
      <c r="R11" s="459">
        <f t="shared" si="1"/>
        <v>-5118.4915725990504</v>
      </c>
      <c r="S11" s="459">
        <f t="shared" si="1"/>
        <v>-5246.4538619140221</v>
      </c>
    </row>
    <row r="12" spans="1:37" hidden="1" outlineLevel="1" x14ac:dyDescent="0.3">
      <c r="B12" s="19" t="s">
        <v>160</v>
      </c>
      <c r="I12" s="456">
        <f>IF(I57&lt;&gt;0,I57,I10*Inputs!D139)</f>
        <v>10387.747945276691</v>
      </c>
      <c r="J12" s="456">
        <f>IF(J57&lt;&gt;0,J57,J10*Inputs!E139)</f>
        <v>13276.065330552508</v>
      </c>
      <c r="K12" s="456">
        <f>IF(K57&lt;&gt;0,K57,K10*Inputs!F139)</f>
        <v>16478.805041171625</v>
      </c>
      <c r="L12" s="456">
        <f>IF(L57&lt;&gt;0,L57,L10*Inputs!G139)</f>
        <v>19724.455063315836</v>
      </c>
      <c r="M12" s="456">
        <f>IF(M57&lt;&gt;0,M57,M10*Inputs!H139)</f>
        <v>23013.39326805943</v>
      </c>
      <c r="N12" s="456">
        <f>IF(N57&lt;&gt;0,N57,N10*Inputs!I139)</f>
        <v>26155.453088819911</v>
      </c>
      <c r="O12" s="456">
        <f>IF(O57&lt;&gt;0,O57,O10*Inputs!J139)</f>
        <v>28770.998397701907</v>
      </c>
      <c r="P12" s="456">
        <f>IF(P57&lt;&gt;0,P57,P10*Inputs!K139)</f>
        <v>31072.678269518059</v>
      </c>
      <c r="Q12" s="456">
        <f>IF(Q57&lt;&gt;0,Q57,Q10*Inputs!L139)</f>
        <v>32937.038965689149</v>
      </c>
      <c r="R12" s="456">
        <f>IF(R57&lt;&gt;0,R57,R10*Inputs!M139)</f>
        <v>34254.520524316715</v>
      </c>
      <c r="S12" s="456">
        <f>IF(S57&lt;&gt;0,S57,S10*Inputs!N139)</f>
        <v>35110.883537424634</v>
      </c>
    </row>
    <row r="13" spans="1:37" hidden="1" outlineLevel="1" x14ac:dyDescent="0.3">
      <c r="S13" s="54"/>
    </row>
    <row r="14" spans="1:37" hidden="1" outlineLevel="1" x14ac:dyDescent="0.3">
      <c r="B14" s="452" t="s">
        <v>188</v>
      </c>
      <c r="C14" s="452"/>
      <c r="D14" s="452"/>
      <c r="E14" s="452"/>
      <c r="F14" s="452"/>
      <c r="G14" s="452"/>
      <c r="H14" s="452"/>
      <c r="I14" s="453">
        <f>I12/I10</f>
        <v>0.84623946521145454</v>
      </c>
      <c r="J14" s="453">
        <f t="shared" ref="J14:R14" si="2">J12/J10</f>
        <v>0.84725646489491324</v>
      </c>
      <c r="K14" s="453">
        <f t="shared" si="2"/>
        <v>0.85499999999999998</v>
      </c>
      <c r="L14" s="453">
        <f t="shared" si="2"/>
        <v>0.86</v>
      </c>
      <c r="M14" s="453">
        <f t="shared" si="2"/>
        <v>0.86499999999999999</v>
      </c>
      <c r="N14" s="453">
        <f t="shared" si="2"/>
        <v>0.87</v>
      </c>
      <c r="O14" s="453">
        <f t="shared" si="2"/>
        <v>0.87</v>
      </c>
      <c r="P14" s="453">
        <f t="shared" si="2"/>
        <v>0.87</v>
      </c>
      <c r="Q14" s="453">
        <f t="shared" si="2"/>
        <v>0.87000000000000011</v>
      </c>
      <c r="R14" s="453">
        <f t="shared" si="2"/>
        <v>0.87</v>
      </c>
      <c r="S14" s="453">
        <f t="shared" ref="S14" si="3">S12/S10</f>
        <v>0.87000000000000011</v>
      </c>
    </row>
    <row r="15" spans="1:37" hidden="1" outlineLevel="1" x14ac:dyDescent="0.3">
      <c r="B15" s="452"/>
      <c r="C15" s="452"/>
      <c r="D15" s="452"/>
      <c r="E15" s="452"/>
      <c r="F15" s="452"/>
      <c r="G15" s="452"/>
      <c r="H15" s="452"/>
      <c r="I15" s="453"/>
      <c r="J15" s="453"/>
      <c r="S15" s="54"/>
    </row>
    <row r="16" spans="1:37" hidden="1" outlineLevel="1" x14ac:dyDescent="0.3">
      <c r="B16" t="s">
        <v>428</v>
      </c>
      <c r="I16" s="457">
        <f>I17-I12</f>
        <v>-11293.284954596216</v>
      </c>
      <c r="J16" s="457">
        <f t="shared" ref="J16:S16" si="4">J17-J12</f>
        <v>-13724.05762338993</v>
      </c>
      <c r="K16" s="457">
        <f t="shared" si="4"/>
        <v>-15515.132231746384</v>
      </c>
      <c r="L16" s="457">
        <f t="shared" si="4"/>
        <v>-17889.622034170177</v>
      </c>
      <c r="M16" s="457">
        <f t="shared" si="4"/>
        <v>-20086.834586572102</v>
      </c>
      <c r="N16" s="457">
        <f t="shared" si="4"/>
        <v>-21946.529603262683</v>
      </c>
      <c r="O16" s="457">
        <f t="shared" si="4"/>
        <v>-23314.429736068785</v>
      </c>
      <c r="P16" s="457">
        <f t="shared" si="4"/>
        <v>-24465.269671976865</v>
      </c>
      <c r="Q16" s="457">
        <f t="shared" si="4"/>
        <v>-25365.305870128424</v>
      </c>
      <c r="R16" s="457">
        <f t="shared" si="4"/>
        <v>-25986.187983964403</v>
      </c>
      <c r="S16" s="457">
        <f t="shared" si="4"/>
        <v>-26232.269309570129</v>
      </c>
    </row>
    <row r="17" spans="1:30" hidden="1" outlineLevel="1" x14ac:dyDescent="0.3">
      <c r="B17" s="19" t="s">
        <v>162</v>
      </c>
      <c r="I17" s="456">
        <f>IF(I62&lt;&gt;0,I62,I10*Inputs!D145)</f>
        <v>-905.53700931952608</v>
      </c>
      <c r="J17" s="456">
        <f>IF(J62&lt;&gt;0,J62,J10*Inputs!E145)</f>
        <v>-447.99229283742216</v>
      </c>
      <c r="K17" s="456">
        <f>IF(K62&lt;&gt;0,K62,K10*Inputs!F145)</f>
        <v>963.67280942524121</v>
      </c>
      <c r="L17" s="456">
        <f>IF(L62&lt;&gt;0,L62,L10*Inputs!G145)</f>
        <v>1834.8330291456593</v>
      </c>
      <c r="M17" s="456">
        <f>IF(M62&lt;&gt;0,M62,M10*Inputs!H145)</f>
        <v>2926.5586814873263</v>
      </c>
      <c r="N17" s="456">
        <f>IF(N62&lt;&gt;0,N62,N10*Inputs!I145)</f>
        <v>4208.9234855572277</v>
      </c>
      <c r="O17" s="456">
        <f>IF(O62&lt;&gt;0,O62,O10*Inputs!J145)</f>
        <v>5456.5686616331204</v>
      </c>
      <c r="P17" s="456">
        <f>IF(P62&lt;&gt;0,P62,P10*Inputs!K145)</f>
        <v>6607.4085975411963</v>
      </c>
      <c r="Q17" s="456">
        <f>IF(Q62&lt;&gt;0,Q62,Q10*Inputs!L145)</f>
        <v>7571.733095560724</v>
      </c>
      <c r="R17" s="456">
        <f>IF(R62&lt;&gt;0,R62,R10*Inputs!M145)</f>
        <v>8268.3325403523104</v>
      </c>
      <c r="S17" s="456">
        <f>IF(S62&lt;&gt;0,S62,S10*Inputs!N145)</f>
        <v>8878.6142278545049</v>
      </c>
    </row>
    <row r="18" spans="1:30" hidden="1" outlineLevel="1" x14ac:dyDescent="0.3">
      <c r="S18" s="54"/>
    </row>
    <row r="19" spans="1:30" hidden="1" outlineLevel="1" x14ac:dyDescent="0.3">
      <c r="B19" s="452" t="s">
        <v>189</v>
      </c>
      <c r="C19" s="452"/>
      <c r="D19" s="452"/>
      <c r="E19" s="452"/>
      <c r="F19" s="452"/>
      <c r="G19" s="452"/>
      <c r="H19" s="452"/>
      <c r="I19" s="453">
        <f>I17/I10</f>
        <v>-7.3769710098152003E-2</v>
      </c>
      <c r="J19" s="453">
        <f t="shared" ref="J19:R19" si="5">J17/J10</f>
        <v>-2.8590124926253641E-2</v>
      </c>
      <c r="K19" s="453">
        <f t="shared" si="5"/>
        <v>0.05</v>
      </c>
      <c r="L19" s="453">
        <f t="shared" si="5"/>
        <v>0.08</v>
      </c>
      <c r="M19" s="453">
        <f t="shared" si="5"/>
        <v>0.11</v>
      </c>
      <c r="N19" s="453">
        <f t="shared" si="5"/>
        <v>0.14000000000000001</v>
      </c>
      <c r="O19" s="453">
        <f t="shared" si="5"/>
        <v>0.16500000000000001</v>
      </c>
      <c r="P19" s="453">
        <f t="shared" si="5"/>
        <v>0.185</v>
      </c>
      <c r="Q19" s="453">
        <f t="shared" si="5"/>
        <v>0.2</v>
      </c>
      <c r="R19" s="453">
        <f t="shared" si="5"/>
        <v>0.21</v>
      </c>
      <c r="S19" s="453">
        <f t="shared" ref="S19" si="6">S17/S10</f>
        <v>0.22</v>
      </c>
    </row>
    <row r="20" spans="1:30" hidden="1" outlineLevel="1" x14ac:dyDescent="0.3">
      <c r="I20" s="451"/>
      <c r="J20" s="451"/>
      <c r="K20"/>
      <c r="L20"/>
      <c r="M20"/>
      <c r="N20"/>
      <c r="O20"/>
      <c r="P20"/>
      <c r="Q20"/>
      <c r="R20"/>
    </row>
    <row r="21" spans="1:30" hidden="1" outlineLevel="1" x14ac:dyDescent="0.3">
      <c r="B21" t="s">
        <v>163</v>
      </c>
      <c r="I21" s="457">
        <f>IF(I66&lt;&gt;0,I66,-I10*Inputs!D151)</f>
        <v>-226.08632336324541</v>
      </c>
      <c r="J21" s="457">
        <f>IF(J66&lt;&gt;0,J66,-J10*Inputs!E151)</f>
        <v>-314.12325649713591</v>
      </c>
      <c r="K21" s="457">
        <f>IF(K66&lt;&gt;0,K66,-K10*Inputs!F151)</f>
        <v>-385.46912377009647</v>
      </c>
      <c r="L21" s="457">
        <f>IF(L66&lt;&gt;0,L66,-L10*Inputs!G151)</f>
        <v>-435.77284442209407</v>
      </c>
      <c r="M21" s="457">
        <f>IF(M66&lt;&gt;0,M66,-M10*Inputs!H151)</f>
        <v>-505.49649952962909</v>
      </c>
      <c r="N21" s="457">
        <f>IF(N66&lt;&gt;0,N66,-N10*Inputs!I151)</f>
        <v>-541.14730528592918</v>
      </c>
      <c r="O21" s="457">
        <f>IF(O66&lt;&gt;0,O66,-O10*Inputs!J151)</f>
        <v>-595.26203581452216</v>
      </c>
      <c r="P21" s="457">
        <f>IF(P66&lt;&gt;0,P66,-P10*Inputs!K151)</f>
        <v>-642.88299867968396</v>
      </c>
      <c r="Q21" s="457">
        <f>IF(Q66&lt;&gt;0,Q66,-Q10*Inputs!L151)</f>
        <v>-681.45597860046507</v>
      </c>
      <c r="R21" s="457">
        <f>IF(R66&lt;&gt;0,R66,-R10*Inputs!M151)</f>
        <v>-708.71421774448368</v>
      </c>
      <c r="S21" s="457">
        <f>IF(S66&lt;&gt;0,S66,-S10*Inputs!N151)</f>
        <v>-726.43207318809573</v>
      </c>
    </row>
    <row r="22" spans="1:30" hidden="1" outlineLevel="1" x14ac:dyDescent="0.3">
      <c r="B22" s="19" t="s">
        <v>164</v>
      </c>
      <c r="I22" s="456">
        <f>I17+I21</f>
        <v>-1131.6233326827714</v>
      </c>
      <c r="J22" s="456">
        <f t="shared" ref="J22:S22" si="7">J17+J21</f>
        <v>-762.11554933455807</v>
      </c>
      <c r="K22" s="456">
        <f t="shared" si="7"/>
        <v>578.20368565514468</v>
      </c>
      <c r="L22" s="456">
        <f t="shared" si="7"/>
        <v>1399.0601847235653</v>
      </c>
      <c r="M22" s="456">
        <f t="shared" si="7"/>
        <v>2421.0621819576972</v>
      </c>
      <c r="N22" s="456">
        <f t="shared" si="7"/>
        <v>3667.7761802712985</v>
      </c>
      <c r="O22" s="456">
        <f t="shared" si="7"/>
        <v>4861.3066258185981</v>
      </c>
      <c r="P22" s="456">
        <f t="shared" si="7"/>
        <v>5964.5255988615127</v>
      </c>
      <c r="Q22" s="456">
        <f t="shared" si="7"/>
        <v>6890.2771169602593</v>
      </c>
      <c r="R22" s="456">
        <f t="shared" si="7"/>
        <v>7559.6183226078265</v>
      </c>
      <c r="S22" s="456">
        <f t="shared" si="7"/>
        <v>8152.1821546664087</v>
      </c>
    </row>
    <row r="23" spans="1:30" hidden="1" outlineLevel="1" x14ac:dyDescent="0.3">
      <c r="K23"/>
      <c r="L23"/>
      <c r="M23"/>
      <c r="N23"/>
      <c r="O23"/>
      <c r="P23"/>
      <c r="Q23"/>
      <c r="R23"/>
    </row>
    <row r="24" spans="1:30" hidden="1" outlineLevel="1" x14ac:dyDescent="0.3">
      <c r="B24" s="452" t="s">
        <v>424</v>
      </c>
      <c r="C24" s="452"/>
      <c r="D24" s="452"/>
      <c r="E24" s="452"/>
      <c r="F24" s="452"/>
      <c r="G24" s="452"/>
      <c r="H24" s="452"/>
      <c r="I24" s="453">
        <f>I22/I10</f>
        <v>-9.2187866794140316E-2</v>
      </c>
      <c r="J24" s="453">
        <f t="shared" ref="J24:R24" si="8">J22/J10</f>
        <v>-4.8636950037046114E-2</v>
      </c>
      <c r="K24" s="453">
        <f t="shared" si="8"/>
        <v>0.03</v>
      </c>
      <c r="L24" s="453">
        <f t="shared" si="8"/>
        <v>6.1000000000000006E-2</v>
      </c>
      <c r="M24" s="453">
        <f t="shared" si="8"/>
        <v>9.0999999999999998E-2</v>
      </c>
      <c r="N24" s="453">
        <f t="shared" si="8"/>
        <v>0.12200000000000001</v>
      </c>
      <c r="O24" s="453">
        <f t="shared" si="8"/>
        <v>0.14699999999999999</v>
      </c>
      <c r="P24" s="453">
        <f t="shared" si="8"/>
        <v>0.16700000000000001</v>
      </c>
      <c r="Q24" s="453">
        <f t="shared" si="8"/>
        <v>0.18200000000000002</v>
      </c>
      <c r="R24" s="453">
        <f t="shared" si="8"/>
        <v>0.19199999999999998</v>
      </c>
      <c r="S24" s="453">
        <f t="shared" ref="S24" si="9">S22/S10</f>
        <v>0.20200000000000001</v>
      </c>
    </row>
    <row r="25" spans="1:30" hidden="1" outlineLevel="1" x14ac:dyDescent="0.3">
      <c r="I25"/>
      <c r="J25"/>
      <c r="K25"/>
      <c r="L25"/>
      <c r="M25"/>
      <c r="N25"/>
      <c r="O25"/>
      <c r="P25"/>
      <c r="Q25"/>
      <c r="R25"/>
    </row>
    <row r="26" spans="1:30" hidden="1" outlineLevel="1" x14ac:dyDescent="0.3">
      <c r="I26"/>
      <c r="J26"/>
      <c r="K26"/>
      <c r="L26"/>
      <c r="M26"/>
      <c r="N26"/>
      <c r="O26"/>
      <c r="P26"/>
      <c r="Q26"/>
      <c r="R26"/>
    </row>
    <row r="27" spans="1:30" collapsed="1" x14ac:dyDescent="0.3">
      <c r="I27"/>
      <c r="J27"/>
      <c r="K27"/>
      <c r="L27"/>
      <c r="M27"/>
      <c r="N27"/>
      <c r="O27"/>
      <c r="P27"/>
      <c r="Q27"/>
      <c r="R27"/>
    </row>
    <row r="28" spans="1:30" s="149" customFormat="1" ht="18.75" customHeight="1" x14ac:dyDescent="0.3">
      <c r="A28" s="149" t="s">
        <v>33</v>
      </c>
      <c r="B28" s="152" t="s">
        <v>429</v>
      </c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153"/>
      <c r="N28" s="153"/>
      <c r="O28" s="153"/>
      <c r="P28" s="153"/>
      <c r="Q28" s="153"/>
      <c r="R28" s="153"/>
      <c r="S28" s="153"/>
      <c r="T28"/>
      <c r="U28"/>
      <c r="V28"/>
      <c r="W28"/>
      <c r="X28"/>
      <c r="Y28"/>
      <c r="Z28"/>
      <c r="AA28"/>
      <c r="AB28"/>
      <c r="AC28"/>
      <c r="AD28"/>
    </row>
    <row r="29" spans="1:30" hidden="1" outlineLevel="1" x14ac:dyDescent="0.3"/>
    <row r="30" spans="1:30" hidden="1" outlineLevel="1" x14ac:dyDescent="0.3">
      <c r="B30" s="155" t="s">
        <v>24</v>
      </c>
    </row>
    <row r="31" spans="1:30" ht="15.75" hidden="1" outlineLevel="1" thickBot="1" x14ac:dyDescent="0.35">
      <c r="B31" s="155" t="str" cm="1">
        <f t="array" ref="B31">CONCATENATE("Model Running: ",INDEX(Inputs!$B$15:$B$17,Inputs!$D$8)," Drivers")</f>
        <v>Model Running: Base Case Drivers</v>
      </c>
    </row>
    <row r="32" spans="1:30" hidden="1" outlineLevel="1" x14ac:dyDescent="0.3">
      <c r="I32" s="409">
        <v>2026</v>
      </c>
      <c r="J32" s="409">
        <f>I32+1</f>
        <v>2027</v>
      </c>
      <c r="K32" s="409">
        <f t="shared" ref="K32:R32" si="10">J32+1</f>
        <v>2028</v>
      </c>
      <c r="L32" s="409">
        <f t="shared" si="10"/>
        <v>2029</v>
      </c>
      <c r="M32" s="409">
        <f t="shared" si="10"/>
        <v>2030</v>
      </c>
      <c r="N32" s="409">
        <f t="shared" si="10"/>
        <v>2031</v>
      </c>
      <c r="O32" s="409">
        <f t="shared" si="10"/>
        <v>2032</v>
      </c>
      <c r="P32" s="409">
        <f t="shared" si="10"/>
        <v>2033</v>
      </c>
      <c r="Q32" s="409">
        <f t="shared" si="10"/>
        <v>2034</v>
      </c>
      <c r="R32" s="409">
        <f t="shared" si="10"/>
        <v>2035</v>
      </c>
      <c r="S32" s="412" t="s">
        <v>377</v>
      </c>
    </row>
    <row r="33" spans="1:30" hidden="1" outlineLevel="1" x14ac:dyDescent="0.3"/>
    <row r="34" spans="1:30" hidden="1" outlineLevel="1" x14ac:dyDescent="0.3">
      <c r="B34" s="19" t="s">
        <v>433</v>
      </c>
    </row>
    <row r="35" spans="1:30" hidden="1" outlineLevel="1" x14ac:dyDescent="0.3">
      <c r="B35" s="51" t="s">
        <v>438</v>
      </c>
      <c r="I35" s="54">
        <f>IF(I77&lt;&gt;0,I77,I10*Inputs!D163)</f>
        <v>-3097.9794509726385</v>
      </c>
      <c r="J35" s="54">
        <f>IF(J77&lt;&gt;0,J77,J10*Inputs!E163)</f>
        <v>-3949.4754552910526</v>
      </c>
      <c r="K35" s="54">
        <f>IF(K77&lt;&gt;0,K77,K10*Inputs!F163)</f>
        <v>-4818.3640471262061</v>
      </c>
      <c r="L35" s="54">
        <f>IF(L77&lt;&gt;0,L77,L10*Inputs!G163)</f>
        <v>-5733.8532160801851</v>
      </c>
      <c r="M35" s="54">
        <f>IF(M77&lt;&gt;0,M77,M10*Inputs!H163)</f>
        <v>-6651.2697306530144</v>
      </c>
      <c r="N35" s="54">
        <f>IF(N77&lt;&gt;0,N77,N10*Inputs!I163)</f>
        <v>-7515.9347956379061</v>
      </c>
      <c r="O35" s="54">
        <f>IF(O77&lt;&gt;0,O77,O10*Inputs!J163)</f>
        <v>-8267.5282752016974</v>
      </c>
      <c r="P35" s="54">
        <f>IF(P77&lt;&gt;0,P77,P10*Inputs!K163)</f>
        <v>-8928.9305372178333</v>
      </c>
      <c r="Q35" s="54">
        <f>IF(Q77&lt;&gt;0,Q77,Q10*Inputs!L163)</f>
        <v>-9464.6663694509043</v>
      </c>
      <c r="R35" s="54">
        <f>IF(R77&lt;&gt;0,R77,R10*Inputs!M163)</f>
        <v>-9843.2530242289413</v>
      </c>
      <c r="S35" s="54">
        <f>IF(S77&lt;&gt;0,S77,S10*Inputs!N163)</f>
        <v>-10089.334349834664</v>
      </c>
    </row>
    <row r="36" spans="1:30" hidden="1" outlineLevel="1" x14ac:dyDescent="0.3">
      <c r="B36" s="51" t="s">
        <v>434</v>
      </c>
      <c r="I36" s="54">
        <f t="shared" ref="I36:S36" si="11">IF(I80&lt;&gt;0,I80,I35-H35)</f>
        <v>-658.97945097263857</v>
      </c>
      <c r="J36" s="54">
        <f t="shared" si="11"/>
        <v>-851.49600431841395</v>
      </c>
      <c r="K36" s="54">
        <f t="shared" si="11"/>
        <v>-868.88859183515342</v>
      </c>
      <c r="L36" s="54">
        <f t="shared" si="11"/>
        <v>-915.48916895397906</v>
      </c>
      <c r="M36" s="54">
        <f t="shared" si="11"/>
        <v>-917.41651457282933</v>
      </c>
      <c r="N36" s="54">
        <f t="shared" si="11"/>
        <v>-864.66506498489161</v>
      </c>
      <c r="O36" s="54">
        <f t="shared" si="11"/>
        <v>-751.59347956379133</v>
      </c>
      <c r="P36" s="54">
        <f t="shared" si="11"/>
        <v>-661.40226201613586</v>
      </c>
      <c r="Q36" s="54">
        <f t="shared" si="11"/>
        <v>-535.73583223307105</v>
      </c>
      <c r="R36" s="54">
        <f t="shared" si="11"/>
        <v>-378.58665477803697</v>
      </c>
      <c r="S36" s="54">
        <f t="shared" si="11"/>
        <v>-246.08132560572267</v>
      </c>
    </row>
    <row r="37" spans="1:30" hidden="1" outlineLevel="1" x14ac:dyDescent="0.3"/>
    <row r="38" spans="1:30" hidden="1" outlineLevel="1" x14ac:dyDescent="0.3">
      <c r="B38" s="19" t="s">
        <v>430</v>
      </c>
    </row>
    <row r="39" spans="1:30" hidden="1" outlineLevel="1" x14ac:dyDescent="0.3">
      <c r="B39" s="51" t="s">
        <v>162</v>
      </c>
      <c r="I39" s="54">
        <f t="shared" ref="I39:S39" si="12">I17</f>
        <v>-905.53700931952608</v>
      </c>
      <c r="J39" s="54">
        <f t="shared" si="12"/>
        <v>-447.99229283742216</v>
      </c>
      <c r="K39" s="54">
        <f t="shared" si="12"/>
        <v>963.67280942524121</v>
      </c>
      <c r="L39" s="54">
        <f t="shared" si="12"/>
        <v>1834.8330291456593</v>
      </c>
      <c r="M39" s="54">
        <f t="shared" si="12"/>
        <v>2926.5586814873263</v>
      </c>
      <c r="N39" s="54">
        <f t="shared" si="12"/>
        <v>4208.9234855572277</v>
      </c>
      <c r="O39" s="54">
        <f t="shared" si="12"/>
        <v>5456.5686616331204</v>
      </c>
      <c r="P39" s="54">
        <f t="shared" si="12"/>
        <v>6607.4085975411963</v>
      </c>
      <c r="Q39" s="54">
        <f t="shared" si="12"/>
        <v>7571.733095560724</v>
      </c>
      <c r="R39" s="54">
        <f t="shared" si="12"/>
        <v>8268.3325403523104</v>
      </c>
      <c r="S39" s="54">
        <f t="shared" si="12"/>
        <v>8878.6142278545049</v>
      </c>
    </row>
    <row r="40" spans="1:30" hidden="1" outlineLevel="1" x14ac:dyDescent="0.3">
      <c r="B40" s="51" t="s">
        <v>167</v>
      </c>
      <c r="I40" s="54">
        <f>-MAX(I22*Inputs!$E$209,0)</f>
        <v>0</v>
      </c>
      <c r="J40" s="54">
        <f>-MAX(J22*Inputs!$E$209,0)</f>
        <v>0</v>
      </c>
      <c r="K40" s="54">
        <f>-MAX(K22*Inputs!$E$209,0)</f>
        <v>-149.17655089902732</v>
      </c>
      <c r="L40" s="54">
        <f>-MAX(L22*Inputs!$E$209,0)</f>
        <v>-360.95752765867985</v>
      </c>
      <c r="M40" s="54">
        <f>-MAX(M22*Inputs!$E$209,0)</f>
        <v>-624.63404294508587</v>
      </c>
      <c r="N40" s="54">
        <f>-MAX(N22*Inputs!$E$209,0)</f>
        <v>-946.28625450999505</v>
      </c>
      <c r="O40" s="54">
        <f>-MAX(O22*Inputs!$E$209,0)</f>
        <v>-1254.2171094611983</v>
      </c>
      <c r="P40" s="54">
        <f>-MAX(P22*Inputs!$E$209,0)</f>
        <v>-1538.8476045062703</v>
      </c>
      <c r="Q40" s="54">
        <f>-MAX(Q22*Inputs!$E$209,0)</f>
        <v>-1777.691496175747</v>
      </c>
      <c r="R40" s="54">
        <f>-MAX(R22*Inputs!$E$209,0)</f>
        <v>-1950.3815272328193</v>
      </c>
      <c r="S40" s="54">
        <f>-MAX(S22*Inputs!$E$209,0)</f>
        <v>-2103.2629959039336</v>
      </c>
    </row>
    <row r="41" spans="1:30" hidden="1" outlineLevel="1" x14ac:dyDescent="0.3">
      <c r="B41" s="51" t="s">
        <v>170</v>
      </c>
      <c r="I41" s="54">
        <f>IF(I73&lt;&gt;0,I73,-I10*Inputs!D157)</f>
        <v>-245.50374621635137</v>
      </c>
      <c r="J41" s="54">
        <f>IF(J73&lt;&gt;0,J73,-J10*Inputs!E157)</f>
        <v>-282.0505783683634</v>
      </c>
      <c r="K41" s="54">
        <f>IF(K73&lt;&gt;0,K73,-K10*Inputs!F157)</f>
        <v>-346.9222113930868</v>
      </c>
      <c r="L41" s="54">
        <f>IF(L73&lt;&gt;0,L73,-L10*Inputs!G157)</f>
        <v>-412.8374315577733</v>
      </c>
      <c r="M41" s="54">
        <f>IF(M73&lt;&gt;0,M73,-M10*Inputs!H157)</f>
        <v>-478.89142060701698</v>
      </c>
      <c r="N41" s="54">
        <f>IF(N73&lt;&gt;0,N73,-N10*Inputs!I157)</f>
        <v>-541.14730528592918</v>
      </c>
      <c r="O41" s="54">
        <f>IF(O73&lt;&gt;0,O73,-O10*Inputs!J157)</f>
        <v>-595.26203581452216</v>
      </c>
      <c r="P41" s="54">
        <f>IF(P73&lt;&gt;0,P73,-P10*Inputs!K157)</f>
        <v>-642.88299867968396</v>
      </c>
      <c r="Q41" s="54">
        <f>IF(Q73&lt;&gt;0,Q73,-Q10*Inputs!L157)</f>
        <v>-681.45597860046507</v>
      </c>
      <c r="R41" s="54">
        <f>IF(R73&lt;&gt;0,R73,-R10*Inputs!M157)</f>
        <v>-708.71421774448368</v>
      </c>
      <c r="S41" s="54">
        <f>IF(S73&lt;&gt;0,S73,-S10*Inputs!N157)</f>
        <v>-726.43207318809573</v>
      </c>
    </row>
    <row r="42" spans="1:30" hidden="1" outlineLevel="1" x14ac:dyDescent="0.3">
      <c r="B42" s="51" t="s">
        <v>436</v>
      </c>
      <c r="I42" s="54">
        <f>-I36</f>
        <v>658.97945097263857</v>
      </c>
      <c r="J42" s="54">
        <f t="shared" ref="J42:S42" si="13">-J36</f>
        <v>851.49600431841395</v>
      </c>
      <c r="K42" s="54">
        <f t="shared" si="13"/>
        <v>868.88859183515342</v>
      </c>
      <c r="L42" s="54">
        <f t="shared" si="13"/>
        <v>915.48916895397906</v>
      </c>
      <c r="M42" s="54">
        <f t="shared" si="13"/>
        <v>917.41651457282933</v>
      </c>
      <c r="N42" s="54">
        <f t="shared" si="13"/>
        <v>864.66506498489161</v>
      </c>
      <c r="O42" s="54">
        <f t="shared" si="13"/>
        <v>751.59347956379133</v>
      </c>
      <c r="P42" s="54">
        <f t="shared" si="13"/>
        <v>661.40226201613586</v>
      </c>
      <c r="Q42" s="54">
        <f t="shared" si="13"/>
        <v>535.73583223307105</v>
      </c>
      <c r="R42" s="54">
        <f t="shared" si="13"/>
        <v>378.58665477803697</v>
      </c>
      <c r="S42" s="54">
        <f t="shared" si="13"/>
        <v>246.08132560572267</v>
      </c>
    </row>
    <row r="43" spans="1:30" hidden="1" outlineLevel="1" x14ac:dyDescent="0.3">
      <c r="B43" s="51" t="s">
        <v>431</v>
      </c>
      <c r="I43" s="458">
        <f>SUM(I39:I42)</f>
        <v>-492.06130456323888</v>
      </c>
      <c r="J43" s="458">
        <f t="shared" ref="J43:S43" si="14">SUM(J39:J42)</f>
        <v>121.45313311262839</v>
      </c>
      <c r="K43" s="458">
        <f t="shared" si="14"/>
        <v>1336.4626389682805</v>
      </c>
      <c r="L43" s="458">
        <f t="shared" si="14"/>
        <v>1976.5272388831852</v>
      </c>
      <c r="M43" s="458">
        <f t="shared" si="14"/>
        <v>2740.4497325080529</v>
      </c>
      <c r="N43" s="458">
        <f t="shared" si="14"/>
        <v>3586.1549907461949</v>
      </c>
      <c r="O43" s="458">
        <f t="shared" si="14"/>
        <v>4358.6829959211909</v>
      </c>
      <c r="P43" s="458">
        <f t="shared" si="14"/>
        <v>5087.0802563713778</v>
      </c>
      <c r="Q43" s="458">
        <f t="shared" si="14"/>
        <v>5648.3214530175828</v>
      </c>
      <c r="R43" s="458">
        <f t="shared" si="14"/>
        <v>5987.8234501530442</v>
      </c>
      <c r="S43" s="458">
        <f t="shared" si="14"/>
        <v>6295.0004843681982</v>
      </c>
    </row>
    <row r="44" spans="1:30" hidden="1" outlineLevel="1" x14ac:dyDescent="0.3"/>
    <row r="45" spans="1:30" hidden="1" outlineLevel="1" x14ac:dyDescent="0.3"/>
    <row r="46" spans="1:30" collapsed="1" x14ac:dyDescent="0.3"/>
    <row r="47" spans="1:30" s="149" customFormat="1" ht="18.75" customHeight="1" x14ac:dyDescent="0.3">
      <c r="A47" s="149" t="s">
        <v>33</v>
      </c>
      <c r="B47" s="152" t="s">
        <v>426</v>
      </c>
      <c r="C47" s="153"/>
      <c r="D47" s="153"/>
      <c r="E47" s="153"/>
      <c r="F47" s="153"/>
      <c r="G47" s="153"/>
      <c r="H47" s="153"/>
      <c r="I47" s="153"/>
      <c r="J47" s="153"/>
      <c r="K47" s="153"/>
      <c r="L47" s="153"/>
      <c r="M47" s="153"/>
      <c r="N47" s="153"/>
      <c r="O47" s="153"/>
      <c r="P47" s="153"/>
      <c r="Q47" s="153"/>
      <c r="R47" s="153"/>
      <c r="S47" s="153"/>
      <c r="T47"/>
      <c r="U47"/>
      <c r="V47"/>
      <c r="W47"/>
      <c r="X47"/>
      <c r="Y47"/>
      <c r="Z47"/>
      <c r="AA47"/>
      <c r="AB47"/>
      <c r="AC47"/>
      <c r="AD47"/>
    </row>
    <row r="48" spans="1:30" hidden="1" outlineLevel="1" x14ac:dyDescent="0.3">
      <c r="I48"/>
      <c r="J48"/>
      <c r="K48"/>
      <c r="L48"/>
      <c r="M48"/>
      <c r="N48"/>
      <c r="O48"/>
      <c r="P48"/>
      <c r="Q48"/>
      <c r="R48"/>
    </row>
    <row r="49" spans="2:18" hidden="1" outlineLevel="1" x14ac:dyDescent="0.3">
      <c r="B49" s="155" t="s">
        <v>24</v>
      </c>
      <c r="I49"/>
      <c r="J49"/>
      <c r="K49"/>
      <c r="L49"/>
      <c r="M49"/>
      <c r="N49"/>
      <c r="O49"/>
      <c r="P49"/>
      <c r="Q49"/>
      <c r="R49"/>
    </row>
    <row r="50" spans="2:18" ht="15.75" hidden="1" outlineLevel="1" thickBot="1" x14ac:dyDescent="0.35">
      <c r="B50" s="155" t="str" cm="1">
        <f t="array" ref="B50">CONCATENATE("Model Running: ",INDEX(Inputs!$B$15:$B$17,Inputs!$D$8)," Drivers")</f>
        <v>Model Running: Base Case Drivers</v>
      </c>
      <c r="I50"/>
      <c r="J50"/>
      <c r="K50"/>
      <c r="L50"/>
      <c r="M50"/>
      <c r="N50"/>
      <c r="O50"/>
      <c r="P50"/>
      <c r="Q50"/>
      <c r="R50"/>
    </row>
    <row r="51" spans="2:18" hidden="1" outlineLevel="1" x14ac:dyDescent="0.3">
      <c r="I51" s="409">
        <f>I7</f>
        <v>2026</v>
      </c>
      <c r="J51" s="409">
        <f>J7</f>
        <v>2027</v>
      </c>
      <c r="K51"/>
      <c r="L51"/>
      <c r="M51"/>
      <c r="N51"/>
      <c r="O51"/>
      <c r="P51"/>
      <c r="Q51"/>
      <c r="R51"/>
    </row>
    <row r="52" spans="2:18" hidden="1" outlineLevel="1" x14ac:dyDescent="0.3">
      <c r="I52"/>
      <c r="J52"/>
      <c r="K52"/>
      <c r="L52"/>
      <c r="M52"/>
      <c r="N52"/>
      <c r="O52"/>
      <c r="P52"/>
      <c r="Q52"/>
      <c r="R52"/>
    </row>
    <row r="53" spans="2:18" hidden="1" outlineLevel="1" x14ac:dyDescent="0.3">
      <c r="B53" s="19" t="s">
        <v>432</v>
      </c>
      <c r="I53"/>
      <c r="J53"/>
      <c r="K53"/>
      <c r="L53"/>
      <c r="M53"/>
      <c r="N53"/>
      <c r="O53"/>
      <c r="P53"/>
      <c r="Q53"/>
      <c r="R53"/>
    </row>
    <row r="54" spans="2:18" hidden="1" outlineLevel="1" x14ac:dyDescent="0.3">
      <c r="B54" s="19"/>
      <c r="I54"/>
      <c r="J54"/>
      <c r="K54"/>
      <c r="L54"/>
      <c r="M54"/>
      <c r="N54"/>
      <c r="O54"/>
      <c r="P54"/>
      <c r="Q54"/>
      <c r="R54"/>
    </row>
    <row r="55" spans="2:18" hidden="1" outlineLevel="1" x14ac:dyDescent="0.3">
      <c r="B55" s="51" t="s">
        <v>159</v>
      </c>
      <c r="I55" s="54">
        <f>SUM('Operational Model'!G10:R10)</f>
        <v>12275.187310817568</v>
      </c>
      <c r="J55" s="54">
        <f>SUM('Operational Model'!S10:AD10)</f>
        <v>15669.476576020183</v>
      </c>
    </row>
    <row r="56" spans="2:18" hidden="1" outlineLevel="1" x14ac:dyDescent="0.3">
      <c r="B56" s="51" t="s">
        <v>187</v>
      </c>
      <c r="I56" s="54">
        <f>SUM('Operational Model'!G12:R13)</f>
        <v>-1887.4393655408783</v>
      </c>
      <c r="J56" s="54">
        <f>SUM('Operational Model'!S12:AD13)</f>
        <v>-2393.411245467677</v>
      </c>
    </row>
    <row r="57" spans="2:18" hidden="1" outlineLevel="1" x14ac:dyDescent="0.3">
      <c r="B57" s="52" t="s">
        <v>160</v>
      </c>
      <c r="I57" s="455">
        <f>SUM('Operational Model'!G14:R14)</f>
        <v>10387.747945276691</v>
      </c>
      <c r="J57" s="455">
        <f>SUM('Operational Model'!S14:AD14)</f>
        <v>13276.065330552508</v>
      </c>
    </row>
    <row r="58" spans="2:18" hidden="1" outlineLevel="1" x14ac:dyDescent="0.3"/>
    <row r="59" spans="2:18" s="452" customFormat="1" hidden="1" outlineLevel="1" x14ac:dyDescent="0.3">
      <c r="B59" s="460" t="s">
        <v>188</v>
      </c>
      <c r="I59" s="453">
        <f>I57/I55</f>
        <v>0.84623946521145454</v>
      </c>
      <c r="J59" s="453">
        <f>J57/J55</f>
        <v>0.84725646489491324</v>
      </c>
      <c r="K59" s="454"/>
      <c r="L59" s="454"/>
      <c r="M59" s="454"/>
      <c r="N59" s="454"/>
      <c r="O59" s="454"/>
      <c r="P59" s="454"/>
      <c r="Q59" s="454"/>
      <c r="R59" s="454"/>
    </row>
    <row r="60" spans="2:18" s="452" customFormat="1" hidden="1" outlineLevel="1" x14ac:dyDescent="0.3">
      <c r="I60" s="453"/>
      <c r="J60" s="453"/>
      <c r="K60" s="454"/>
      <c r="L60" s="454"/>
      <c r="M60" s="454"/>
      <c r="N60" s="454"/>
      <c r="O60" s="454"/>
      <c r="P60" s="454"/>
      <c r="Q60" s="454"/>
      <c r="R60" s="454"/>
    </row>
    <row r="61" spans="2:18" hidden="1" outlineLevel="1" x14ac:dyDescent="0.3">
      <c r="B61" s="51" t="s">
        <v>428</v>
      </c>
      <c r="I61" s="54">
        <f>SUM('Operational Model'!G19:R21)</f>
        <v>-11293.284954596216</v>
      </c>
      <c r="J61" s="54">
        <f>SUM('Operational Model'!S19:AD21)</f>
        <v>-13724.057623389934</v>
      </c>
    </row>
    <row r="62" spans="2:18" hidden="1" outlineLevel="1" x14ac:dyDescent="0.3">
      <c r="B62" s="52" t="s">
        <v>162</v>
      </c>
      <c r="I62" s="455">
        <f>SUM('Operational Model'!G22:R22)</f>
        <v>-905.53700931952608</v>
      </c>
      <c r="J62" s="455">
        <f>SUM('Operational Model'!S22:AD22)</f>
        <v>-447.99229283742216</v>
      </c>
    </row>
    <row r="63" spans="2:18" hidden="1" outlineLevel="1" x14ac:dyDescent="0.3">
      <c r="B63" s="51"/>
    </row>
    <row r="64" spans="2:18" s="452" customFormat="1" hidden="1" outlineLevel="1" x14ac:dyDescent="0.3">
      <c r="B64" s="460" t="s">
        <v>189</v>
      </c>
      <c r="I64" s="453">
        <f>I62/I55</f>
        <v>-7.3769710098152003E-2</v>
      </c>
      <c r="J64" s="453">
        <f>J62/J55</f>
        <v>-2.8590124926253641E-2</v>
      </c>
      <c r="K64" s="454"/>
      <c r="L64" s="454"/>
      <c r="M64" s="454"/>
      <c r="N64" s="454"/>
      <c r="O64" s="454"/>
      <c r="P64" s="454"/>
      <c r="Q64" s="454"/>
      <c r="R64" s="454"/>
    </row>
    <row r="65" spans="2:18" hidden="1" outlineLevel="1" x14ac:dyDescent="0.3">
      <c r="B65" s="51"/>
      <c r="I65" s="451"/>
      <c r="J65" s="451"/>
    </row>
    <row r="66" spans="2:18" hidden="1" outlineLevel="1" x14ac:dyDescent="0.3">
      <c r="B66" s="51" t="s">
        <v>163</v>
      </c>
      <c r="I66" s="54">
        <f>SUM('Operational Model'!G27:R27)</f>
        <v>-226.08632336324541</v>
      </c>
      <c r="J66" s="54">
        <f>SUM('Operational Model'!S27:AD27)</f>
        <v>-314.12325649713591</v>
      </c>
    </row>
    <row r="67" spans="2:18" hidden="1" outlineLevel="1" x14ac:dyDescent="0.3">
      <c r="B67" s="52" t="s">
        <v>164</v>
      </c>
      <c r="I67" s="455">
        <f>SUM('Operational Model'!G28:R28)</f>
        <v>-1131.6233326827714</v>
      </c>
      <c r="J67" s="455">
        <f>SUM('Operational Model'!S28:AD28)</f>
        <v>-762.11554933455807</v>
      </c>
    </row>
    <row r="68" spans="2:18" hidden="1" outlineLevel="1" x14ac:dyDescent="0.3">
      <c r="B68" s="51"/>
    </row>
    <row r="69" spans="2:18" s="452" customFormat="1" hidden="1" outlineLevel="1" x14ac:dyDescent="0.3">
      <c r="B69" s="460" t="s">
        <v>424</v>
      </c>
      <c r="I69" s="453">
        <f>I67/I55</f>
        <v>-9.2187866794140316E-2</v>
      </c>
      <c r="J69" s="453">
        <f>J67/J55</f>
        <v>-4.8636950037046114E-2</v>
      </c>
      <c r="K69" s="454"/>
      <c r="L69" s="454"/>
      <c r="M69" s="454"/>
      <c r="N69" s="454"/>
      <c r="O69" s="454"/>
      <c r="P69" s="454"/>
      <c r="Q69" s="454"/>
      <c r="R69" s="454"/>
    </row>
    <row r="70" spans="2:18" s="452" customFormat="1" hidden="1" outlineLevel="1" x14ac:dyDescent="0.3">
      <c r="B70" s="460"/>
      <c r="I70" s="453"/>
      <c r="J70" s="453"/>
      <c r="K70" s="454"/>
      <c r="L70" s="454"/>
      <c r="M70" s="454"/>
      <c r="N70" s="454"/>
      <c r="O70" s="454"/>
      <c r="P70" s="454"/>
      <c r="Q70" s="454"/>
      <c r="R70" s="454"/>
    </row>
    <row r="71" spans="2:18" hidden="1" outlineLevel="1" x14ac:dyDescent="0.3"/>
    <row r="72" spans="2:18" hidden="1" outlineLevel="1" x14ac:dyDescent="0.3">
      <c r="B72" s="19" t="s">
        <v>116</v>
      </c>
    </row>
    <row r="73" spans="2:18" hidden="1" outlineLevel="1" x14ac:dyDescent="0.3">
      <c r="B73" s="53" t="s">
        <v>267</v>
      </c>
      <c r="I73" s="54">
        <f>SUM('Operational Model'!G62:R62)</f>
        <v>-245.50374621635137</v>
      </c>
      <c r="J73" s="54">
        <f>SUM('Operational Model'!S62:AD62)</f>
        <v>-282.0505783683634</v>
      </c>
    </row>
    <row r="74" spans="2:18" hidden="1" outlineLevel="1" x14ac:dyDescent="0.3">
      <c r="B74" s="19"/>
    </row>
    <row r="75" spans="2:18" hidden="1" outlineLevel="1" x14ac:dyDescent="0.3">
      <c r="B75" s="19"/>
    </row>
    <row r="76" spans="2:18" hidden="1" outlineLevel="1" x14ac:dyDescent="0.3">
      <c r="B76" s="19" t="s">
        <v>433</v>
      </c>
    </row>
    <row r="77" spans="2:18" hidden="1" outlineLevel="1" x14ac:dyDescent="0.3">
      <c r="B77" s="53" t="s">
        <v>437</v>
      </c>
      <c r="I77" s="54">
        <f>'Operational Model'!R381-'Operational Model'!R382-'Operational Model'!R383+'Operational Model'!R384-'Operational Model'!R412</f>
        <v>-3097.9794509726385</v>
      </c>
      <c r="J77" s="54">
        <f>'Operational Model'!AD381-'Operational Model'!AD382-'Operational Model'!AD383+'Operational Model'!AD384-'Operational Model'!AD412</f>
        <v>-3949.4754552910526</v>
      </c>
    </row>
    <row r="78" spans="2:18" hidden="1" outlineLevel="1" x14ac:dyDescent="0.3">
      <c r="B78" s="53" t="s">
        <v>435</v>
      </c>
      <c r="I78" s="54">
        <f>-SUM('Operational Model'!G392:R392)</f>
        <v>129.35840621266689</v>
      </c>
      <c r="J78" s="54">
        <f>-SUM('Operational Model'!S392:AD392)</f>
        <v>235.59576558262941</v>
      </c>
    </row>
    <row r="79" spans="2:18" hidden="1" outlineLevel="1" x14ac:dyDescent="0.3">
      <c r="B79" s="53" t="s">
        <v>255</v>
      </c>
      <c r="I79" s="54">
        <f>-SUM('Operational Model'!G414:R414)</f>
        <v>-788.33785718530544</v>
      </c>
      <c r="J79" s="54">
        <f>-SUM('Operational Model'!S414:AD414)</f>
        <v>-1087.0917699010433</v>
      </c>
    </row>
    <row r="80" spans="2:18" hidden="1" outlineLevel="1" x14ac:dyDescent="0.3">
      <c r="B80" s="52" t="s">
        <v>434</v>
      </c>
      <c r="I80" s="455">
        <f>I78+I79</f>
        <v>-658.97945097263857</v>
      </c>
      <c r="J80" s="455">
        <f>J78+J79</f>
        <v>-851.49600431841395</v>
      </c>
    </row>
    <row r="81" spans="1:30" hidden="1" outlineLevel="1" x14ac:dyDescent="0.3">
      <c r="B81" s="52"/>
      <c r="I81" s="456"/>
      <c r="J81" s="456"/>
    </row>
    <row r="82" spans="1:30" hidden="1" outlineLevel="1" x14ac:dyDescent="0.3"/>
    <row r="83" spans="1:30" collapsed="1" x14ac:dyDescent="0.3"/>
    <row r="84" spans="1:30" s="149" customFormat="1" ht="18.75" customHeight="1" x14ac:dyDescent="0.3">
      <c r="A84" s="149" t="s">
        <v>33</v>
      </c>
      <c r="B84" s="152" t="s">
        <v>439</v>
      </c>
      <c r="C84" s="153"/>
      <c r="D84" s="153"/>
      <c r="E84" s="153"/>
      <c r="F84" s="153"/>
      <c r="G84" s="153"/>
      <c r="H84" s="153"/>
      <c r="I84" s="153"/>
      <c r="J84" s="153"/>
      <c r="K84" s="153"/>
      <c r="L84" s="153"/>
      <c r="M84" s="153"/>
      <c r="N84" s="153"/>
      <c r="O84" s="153"/>
      <c r="P84" s="153"/>
      <c r="Q84" s="153"/>
      <c r="R84" s="153"/>
      <c r="S84" s="153"/>
      <c r="T84"/>
      <c r="U84"/>
      <c r="V84"/>
      <c r="W84"/>
      <c r="X84"/>
      <c r="Y84"/>
      <c r="Z84"/>
      <c r="AA84"/>
      <c r="AB84"/>
      <c r="AC84"/>
      <c r="AD84"/>
    </row>
    <row r="85" spans="1:30" outlineLevel="1" x14ac:dyDescent="0.3"/>
    <row r="86" spans="1:30" outlineLevel="1" x14ac:dyDescent="0.3">
      <c r="B86" s="155" t="s">
        <v>24</v>
      </c>
    </row>
    <row r="87" spans="1:30" outlineLevel="1" x14ac:dyDescent="0.3">
      <c r="B87" s="155" t="str" cm="1">
        <f t="array" ref="B87">CONCATENATE("Model Running: ",INDEX(Inputs!$B$15:$B$17,Inputs!$D$8)," Drivers")</f>
        <v>Model Running: Base Case Drivers</v>
      </c>
    </row>
    <row r="88" spans="1:30" ht="15.75" outlineLevel="1" thickBot="1" x14ac:dyDescent="0.35"/>
    <row r="89" spans="1:30" outlineLevel="1" x14ac:dyDescent="0.3">
      <c r="F89" s="480" t="s">
        <v>27</v>
      </c>
      <c r="G89" s="466"/>
      <c r="H89" s="474" t="s">
        <v>365</v>
      </c>
      <c r="I89" s="471" t="s">
        <v>444</v>
      </c>
      <c r="J89" s="471"/>
      <c r="K89" s="471"/>
      <c r="L89" s="471"/>
      <c r="M89" s="471"/>
      <c r="N89" s="471"/>
      <c r="O89" s="471"/>
      <c r="P89" s="471"/>
      <c r="Q89" s="471"/>
      <c r="R89" s="472"/>
      <c r="S89" s="473" t="s">
        <v>377</v>
      </c>
    </row>
    <row r="90" spans="1:30" outlineLevel="1" x14ac:dyDescent="0.3">
      <c r="B90" s="475" t="s">
        <v>376</v>
      </c>
      <c r="C90" s="92"/>
      <c r="D90" s="476">
        <f>G272</f>
        <v>2.5000000000000001E-2</v>
      </c>
      <c r="F90" s="462" t="s">
        <v>440</v>
      </c>
      <c r="H90" s="469">
        <f>Inputs!$E$206</f>
        <v>46112</v>
      </c>
      <c r="I90" s="463">
        <f>Inputs!$E$204</f>
        <v>46387</v>
      </c>
      <c r="J90" s="463">
        <f>EDATE(I90,12)</f>
        <v>46752</v>
      </c>
      <c r="K90" s="463">
        <f t="shared" ref="K90:R90" si="15">EDATE(J90,12)</f>
        <v>47118</v>
      </c>
      <c r="L90" s="463">
        <f t="shared" si="15"/>
        <v>47483</v>
      </c>
      <c r="M90" s="463">
        <f t="shared" si="15"/>
        <v>47848</v>
      </c>
      <c r="N90" s="463">
        <f t="shared" si="15"/>
        <v>48213</v>
      </c>
      <c r="O90" s="463">
        <f t="shared" si="15"/>
        <v>48579</v>
      </c>
      <c r="P90" s="463">
        <f t="shared" si="15"/>
        <v>48944</v>
      </c>
      <c r="Q90" s="463">
        <f t="shared" si="15"/>
        <v>49309</v>
      </c>
      <c r="R90" s="464">
        <f t="shared" si="15"/>
        <v>49674</v>
      </c>
      <c r="S90" s="464">
        <f t="shared" ref="S90" si="16">EDATE(R90,12)</f>
        <v>50040</v>
      </c>
    </row>
    <row r="91" spans="1:30" outlineLevel="1" x14ac:dyDescent="0.3">
      <c r="B91" s="477" t="s">
        <v>375</v>
      </c>
      <c r="C91" s="63"/>
      <c r="D91" s="478">
        <f>G273</f>
        <v>0.1078789259490672</v>
      </c>
      <c r="F91" s="462" t="s">
        <v>441</v>
      </c>
      <c r="H91" s="470">
        <f>$H$90</f>
        <v>46112</v>
      </c>
      <c r="I91" s="468">
        <f>Inputs!$E$205</f>
        <v>46203</v>
      </c>
      <c r="J91" s="468">
        <f t="shared" ref="J91:S91" si="17">EDATE(I91,12)</f>
        <v>46568</v>
      </c>
      <c r="K91" s="468">
        <f t="shared" si="17"/>
        <v>46934</v>
      </c>
      <c r="L91" s="468">
        <f t="shared" si="17"/>
        <v>47299</v>
      </c>
      <c r="M91" s="468">
        <f t="shared" si="17"/>
        <v>47664</v>
      </c>
      <c r="N91" s="468">
        <f t="shared" si="17"/>
        <v>48029</v>
      </c>
      <c r="O91" s="468">
        <f t="shared" si="17"/>
        <v>48395</v>
      </c>
      <c r="P91" s="468">
        <f t="shared" si="17"/>
        <v>48760</v>
      </c>
      <c r="Q91" s="468">
        <f t="shared" si="17"/>
        <v>49125</v>
      </c>
      <c r="R91" s="467">
        <f t="shared" si="17"/>
        <v>49490</v>
      </c>
      <c r="S91" s="467">
        <f t="shared" si="17"/>
        <v>49856</v>
      </c>
    </row>
    <row r="92" spans="1:30" outlineLevel="1" x14ac:dyDescent="0.3">
      <c r="B92" s="1"/>
      <c r="C92" s="1"/>
      <c r="D92" s="488"/>
      <c r="F92" s="462"/>
      <c r="H92" s="465"/>
      <c r="I92" s="465"/>
      <c r="J92" s="465"/>
      <c r="K92" s="465"/>
      <c r="L92" s="465"/>
      <c r="M92" s="465"/>
      <c r="N92" s="465"/>
      <c r="O92" s="465"/>
      <c r="P92" s="465"/>
      <c r="Q92" s="465"/>
      <c r="R92" s="465"/>
      <c r="S92" s="465"/>
    </row>
    <row r="93" spans="1:30" outlineLevel="1" x14ac:dyDescent="0.3">
      <c r="B93" s="19"/>
    </row>
    <row r="94" spans="1:30" outlineLevel="1" x14ac:dyDescent="0.3">
      <c r="B94" s="481" t="s">
        <v>431</v>
      </c>
      <c r="H94" s="490">
        <v>0</v>
      </c>
      <c r="I94" s="482">
        <f t="shared" ref="I94:S94" si="18">I43</f>
        <v>-492.06130456323888</v>
      </c>
      <c r="J94" s="482">
        <f t="shared" si="18"/>
        <v>121.45313311262839</v>
      </c>
      <c r="K94" s="482">
        <f t="shared" si="18"/>
        <v>1336.4626389682805</v>
      </c>
      <c r="L94" s="482">
        <f t="shared" si="18"/>
        <v>1976.5272388831852</v>
      </c>
      <c r="M94" s="482">
        <f t="shared" si="18"/>
        <v>2740.4497325080529</v>
      </c>
      <c r="N94" s="482">
        <f t="shared" si="18"/>
        <v>3586.1549907461949</v>
      </c>
      <c r="O94" s="482">
        <f t="shared" si="18"/>
        <v>4358.6829959211909</v>
      </c>
      <c r="P94" s="482">
        <f t="shared" si="18"/>
        <v>5087.0802563713778</v>
      </c>
      <c r="Q94" s="482">
        <f t="shared" si="18"/>
        <v>5648.3214530175828</v>
      </c>
      <c r="R94" s="482">
        <f t="shared" si="18"/>
        <v>5987.8234501530442</v>
      </c>
      <c r="S94" s="483">
        <f t="shared" si="18"/>
        <v>6295.0004843681982</v>
      </c>
    </row>
    <row r="95" spans="1:30" outlineLevel="1" x14ac:dyDescent="0.3">
      <c r="H95" s="491"/>
      <c r="S95" s="54"/>
    </row>
    <row r="96" spans="1:30" outlineLevel="1" x14ac:dyDescent="0.3">
      <c r="B96" s="19" t="s">
        <v>447</v>
      </c>
      <c r="H96" s="491"/>
    </row>
    <row r="97" spans="2:18" outlineLevel="1" x14ac:dyDescent="0.3">
      <c r="B97" s="51" t="s">
        <v>443</v>
      </c>
      <c r="H97" s="492">
        <v>0</v>
      </c>
      <c r="I97" s="54">
        <f>I94</f>
        <v>-492.06130456323888</v>
      </c>
      <c r="J97" s="54">
        <f t="shared" ref="J97:Q97" si="19">J94</f>
        <v>121.45313311262839</v>
      </c>
      <c r="K97" s="54">
        <f t="shared" si="19"/>
        <v>1336.4626389682805</v>
      </c>
      <c r="L97" s="54">
        <f t="shared" si="19"/>
        <v>1976.5272388831852</v>
      </c>
      <c r="M97" s="54">
        <f t="shared" si="19"/>
        <v>2740.4497325080529</v>
      </c>
      <c r="N97" s="54">
        <f t="shared" si="19"/>
        <v>3586.1549907461949</v>
      </c>
      <c r="O97" s="54">
        <f t="shared" si="19"/>
        <v>4358.6829959211909</v>
      </c>
      <c r="P97" s="54">
        <f t="shared" si="19"/>
        <v>5087.0802563713778</v>
      </c>
      <c r="Q97" s="54">
        <f t="shared" si="19"/>
        <v>5648.3214530175828</v>
      </c>
      <c r="R97" s="54">
        <f>R94</f>
        <v>5987.8234501530442</v>
      </c>
    </row>
    <row r="98" spans="2:18" outlineLevel="1" x14ac:dyDescent="0.3">
      <c r="B98" s="51" t="s">
        <v>448</v>
      </c>
      <c r="H98" s="492">
        <v>0</v>
      </c>
      <c r="I98" s="492">
        <v>0</v>
      </c>
      <c r="J98" s="492">
        <v>0</v>
      </c>
      <c r="K98" s="492">
        <v>0</v>
      </c>
      <c r="L98" s="492">
        <v>0</v>
      </c>
      <c r="M98" s="492">
        <v>0</v>
      </c>
      <c r="N98" s="492">
        <v>0</v>
      </c>
      <c r="O98" s="492">
        <v>0</v>
      </c>
      <c r="P98" s="492">
        <v>0</v>
      </c>
      <c r="Q98" s="492">
        <v>0</v>
      </c>
      <c r="R98" s="54">
        <f>S94/(D91-D90)</f>
        <v>75954.175470815782</v>
      </c>
    </row>
    <row r="99" spans="2:18" outlineLevel="1" x14ac:dyDescent="0.3">
      <c r="B99" s="51" t="s">
        <v>449</v>
      </c>
      <c r="H99" s="493">
        <f>SUM(H97:H98)</f>
        <v>0</v>
      </c>
      <c r="I99" s="458">
        <f>SUM(I97:I98)</f>
        <v>-492.06130456323888</v>
      </c>
      <c r="J99" s="458">
        <f>SUM(J97:J98)</f>
        <v>121.45313311262839</v>
      </c>
      <c r="K99" s="458">
        <f t="shared" ref="K99:R99" si="20">SUM(K97:K98)</f>
        <v>1336.4626389682805</v>
      </c>
      <c r="L99" s="458">
        <f t="shared" si="20"/>
        <v>1976.5272388831852</v>
      </c>
      <c r="M99" s="458">
        <f t="shared" si="20"/>
        <v>2740.4497325080529</v>
      </c>
      <c r="N99" s="458">
        <f t="shared" si="20"/>
        <v>3586.1549907461949</v>
      </c>
      <c r="O99" s="458">
        <f t="shared" si="20"/>
        <v>4358.6829959211909</v>
      </c>
      <c r="P99" s="458">
        <f t="shared" si="20"/>
        <v>5087.0802563713778</v>
      </c>
      <c r="Q99" s="458">
        <f t="shared" si="20"/>
        <v>5648.3214530175828</v>
      </c>
      <c r="R99" s="458">
        <f t="shared" si="20"/>
        <v>81941.998920968821</v>
      </c>
    </row>
    <row r="100" spans="2:18" outlineLevel="1" x14ac:dyDescent="0.3">
      <c r="H100" s="491"/>
    </row>
    <row r="101" spans="2:18" outlineLevel="1" x14ac:dyDescent="0.3">
      <c r="B101" s="19" t="s">
        <v>450</v>
      </c>
      <c r="H101" s="491"/>
    </row>
    <row r="102" spans="2:18" outlineLevel="1" x14ac:dyDescent="0.3">
      <c r="B102" s="53" t="s">
        <v>451</v>
      </c>
      <c r="H102" s="494">
        <v>0</v>
      </c>
      <c r="I102" s="484">
        <f t="shared" ref="I102:R102" si="21">YEARFRAC(H90,I90)</f>
        <v>0.75</v>
      </c>
      <c r="J102" s="484">
        <f t="shared" si="21"/>
        <v>1</v>
      </c>
      <c r="K102" s="484">
        <f t="shared" si="21"/>
        <v>1</v>
      </c>
      <c r="L102" s="484">
        <f t="shared" si="21"/>
        <v>1</v>
      </c>
      <c r="M102" s="484">
        <f t="shared" si="21"/>
        <v>1</v>
      </c>
      <c r="N102" s="484">
        <f t="shared" si="21"/>
        <v>1</v>
      </c>
      <c r="O102" s="484">
        <f t="shared" si="21"/>
        <v>1</v>
      </c>
      <c r="P102" s="484">
        <f t="shared" si="21"/>
        <v>1</v>
      </c>
      <c r="Q102" s="484">
        <f t="shared" si="21"/>
        <v>1</v>
      </c>
      <c r="R102" s="485">
        <f t="shared" si="21"/>
        <v>1</v>
      </c>
    </row>
    <row r="103" spans="2:18" outlineLevel="1" x14ac:dyDescent="0.3">
      <c r="B103" s="53" t="s">
        <v>443</v>
      </c>
      <c r="H103" s="492">
        <v>0</v>
      </c>
      <c r="I103" s="54">
        <f t="shared" ref="I103:R103" si="22">I97*I102</f>
        <v>-369.04597842242913</v>
      </c>
      <c r="J103" s="54">
        <f t="shared" si="22"/>
        <v>121.45313311262839</v>
      </c>
      <c r="K103" s="54">
        <f t="shared" si="22"/>
        <v>1336.4626389682805</v>
      </c>
      <c r="L103" s="54">
        <f t="shared" si="22"/>
        <v>1976.5272388831852</v>
      </c>
      <c r="M103" s="54">
        <f t="shared" si="22"/>
        <v>2740.4497325080529</v>
      </c>
      <c r="N103" s="54">
        <f t="shared" si="22"/>
        <v>3586.1549907461949</v>
      </c>
      <c r="O103" s="54">
        <f t="shared" si="22"/>
        <v>4358.6829959211909</v>
      </c>
      <c r="P103" s="54">
        <f t="shared" si="22"/>
        <v>5087.0802563713778</v>
      </c>
      <c r="Q103" s="54">
        <f t="shared" si="22"/>
        <v>5648.3214530175828</v>
      </c>
      <c r="R103" s="54">
        <f t="shared" si="22"/>
        <v>5987.8234501530442</v>
      </c>
    </row>
    <row r="104" spans="2:18" outlineLevel="1" x14ac:dyDescent="0.3">
      <c r="B104" s="53" t="s">
        <v>448</v>
      </c>
      <c r="H104" s="492">
        <v>0</v>
      </c>
      <c r="I104" s="54">
        <f>I98*I102</f>
        <v>0</v>
      </c>
      <c r="J104" s="54">
        <f t="shared" ref="J104:Q104" si="23">J98*J102</f>
        <v>0</v>
      </c>
      <c r="K104" s="54">
        <f t="shared" si="23"/>
        <v>0</v>
      </c>
      <c r="L104" s="54">
        <f t="shared" si="23"/>
        <v>0</v>
      </c>
      <c r="M104" s="54">
        <f t="shared" si="23"/>
        <v>0</v>
      </c>
      <c r="N104" s="54">
        <f t="shared" si="23"/>
        <v>0</v>
      </c>
      <c r="O104" s="54">
        <f t="shared" si="23"/>
        <v>0</v>
      </c>
      <c r="P104" s="54">
        <f t="shared" si="23"/>
        <v>0</v>
      </c>
      <c r="Q104" s="54">
        <f t="shared" si="23"/>
        <v>0</v>
      </c>
      <c r="R104" s="54">
        <f>R98*R102</f>
        <v>75954.175470815782</v>
      </c>
    </row>
    <row r="105" spans="2:18" outlineLevel="1" x14ac:dyDescent="0.3">
      <c r="B105" s="53" t="s">
        <v>449</v>
      </c>
      <c r="H105" s="495">
        <v>0</v>
      </c>
      <c r="I105" s="458">
        <f>SUM(I103:I104)</f>
        <v>-369.04597842242913</v>
      </c>
      <c r="J105" s="458">
        <f t="shared" ref="J105:R105" si="24">SUM(J103:J104)</f>
        <v>121.45313311262839</v>
      </c>
      <c r="K105" s="458">
        <f t="shared" si="24"/>
        <v>1336.4626389682805</v>
      </c>
      <c r="L105" s="458">
        <f t="shared" si="24"/>
        <v>1976.5272388831852</v>
      </c>
      <c r="M105" s="458">
        <f t="shared" si="24"/>
        <v>2740.4497325080529</v>
      </c>
      <c r="N105" s="458">
        <f t="shared" si="24"/>
        <v>3586.1549907461949</v>
      </c>
      <c r="O105" s="458">
        <f t="shared" si="24"/>
        <v>4358.6829959211909</v>
      </c>
      <c r="P105" s="458">
        <f t="shared" si="24"/>
        <v>5087.0802563713778</v>
      </c>
      <c r="Q105" s="458">
        <f t="shared" si="24"/>
        <v>5648.3214530175828</v>
      </c>
      <c r="R105" s="458">
        <f t="shared" si="24"/>
        <v>81941.998920968821</v>
      </c>
    </row>
    <row r="106" spans="2:18" outlineLevel="1" x14ac:dyDescent="0.3">
      <c r="H106" s="491"/>
    </row>
    <row r="107" spans="2:18" outlineLevel="1" x14ac:dyDescent="0.3">
      <c r="B107" s="19" t="s">
        <v>452</v>
      </c>
      <c r="H107" s="491"/>
    </row>
    <row r="108" spans="2:18" outlineLevel="1" x14ac:dyDescent="0.3">
      <c r="B108" s="53" t="s">
        <v>453</v>
      </c>
      <c r="H108" s="496">
        <v>0</v>
      </c>
      <c r="I108" s="486">
        <f t="shared" ref="I108:R108" si="25">H108+YEARFRAC(H91,I91)</f>
        <v>0.25</v>
      </c>
      <c r="J108" s="486">
        <f t="shared" si="25"/>
        <v>1.25</v>
      </c>
      <c r="K108" s="486">
        <f t="shared" si="25"/>
        <v>2.25</v>
      </c>
      <c r="L108" s="486">
        <f t="shared" si="25"/>
        <v>3.25</v>
      </c>
      <c r="M108" s="486">
        <f t="shared" si="25"/>
        <v>4.25</v>
      </c>
      <c r="N108" s="486">
        <f t="shared" si="25"/>
        <v>5.25</v>
      </c>
      <c r="O108" s="486">
        <f t="shared" si="25"/>
        <v>6.25</v>
      </c>
      <c r="P108" s="486">
        <f t="shared" si="25"/>
        <v>7.25</v>
      </c>
      <c r="Q108" s="486">
        <f t="shared" si="25"/>
        <v>8.25</v>
      </c>
      <c r="R108" s="487">
        <f t="shared" si="25"/>
        <v>9.25</v>
      </c>
    </row>
    <row r="109" spans="2:18" outlineLevel="1" x14ac:dyDescent="0.3">
      <c r="B109" s="53" t="s">
        <v>444</v>
      </c>
      <c r="H109" s="492">
        <v>0</v>
      </c>
      <c r="I109" s="54">
        <f t="shared" ref="I109:R109" si="26">I103/(1+$D$91)^I108</f>
        <v>-359.71405048415625</v>
      </c>
      <c r="J109" s="54">
        <f t="shared" si="26"/>
        <v>106.85463030832558</v>
      </c>
      <c r="K109" s="54">
        <f t="shared" si="26"/>
        <v>1061.3268333054461</v>
      </c>
      <c r="L109" s="54">
        <f t="shared" si="26"/>
        <v>1416.7813279370127</v>
      </c>
      <c r="M109" s="54">
        <f t="shared" si="26"/>
        <v>1773.0850162775514</v>
      </c>
      <c r="N109" s="54">
        <f t="shared" si="26"/>
        <v>2094.3269129561681</v>
      </c>
      <c r="O109" s="54">
        <f t="shared" si="26"/>
        <v>2297.6210479384008</v>
      </c>
      <c r="P109" s="54">
        <f t="shared" si="26"/>
        <v>2420.4683314117065</v>
      </c>
      <c r="Q109" s="54">
        <f t="shared" si="26"/>
        <v>2425.8163518063616</v>
      </c>
      <c r="R109" s="54">
        <f t="shared" si="26"/>
        <v>2321.214098320756</v>
      </c>
    </row>
    <row r="110" spans="2:18" outlineLevel="1" x14ac:dyDescent="0.3">
      <c r="B110" s="53" t="s">
        <v>448</v>
      </c>
      <c r="H110" s="492">
        <v>0</v>
      </c>
      <c r="I110" s="54">
        <f>I104/(1+$D$91)^I108</f>
        <v>0</v>
      </c>
      <c r="J110" s="54">
        <f t="shared" ref="J110:N110" si="27">J104/(1+$D$91)^J108</f>
        <v>0</v>
      </c>
      <c r="K110" s="54">
        <f t="shared" si="27"/>
        <v>0</v>
      </c>
      <c r="L110" s="54">
        <f t="shared" si="27"/>
        <v>0</v>
      </c>
      <c r="M110" s="54">
        <f t="shared" si="27"/>
        <v>0</v>
      </c>
      <c r="N110" s="54">
        <f t="shared" si="27"/>
        <v>0</v>
      </c>
      <c r="O110" s="54">
        <f>O104/(1+$D$91)^O108</f>
        <v>0</v>
      </c>
      <c r="P110" s="54">
        <f>P104/(1+$D$91)^P108</f>
        <v>0</v>
      </c>
      <c r="Q110" s="54">
        <f>Q104/(1+$D$91)^Q108</f>
        <v>0</v>
      </c>
      <c r="R110" s="54">
        <f>R104/(1+$D$91)^R108</f>
        <v>29444.071689301374</v>
      </c>
    </row>
    <row r="111" spans="2:18" outlineLevel="1" x14ac:dyDescent="0.3">
      <c r="B111" s="53" t="s">
        <v>449</v>
      </c>
      <c r="H111" s="493">
        <f>SUM(H109:H110)</f>
        <v>0</v>
      </c>
      <c r="I111" s="458">
        <f>SUM(I109:I110)</f>
        <v>-359.71405048415625</v>
      </c>
      <c r="J111" s="458">
        <f t="shared" ref="J111:Q111" si="28">SUM(J109:J110)</f>
        <v>106.85463030832558</v>
      </c>
      <c r="K111" s="458">
        <f t="shared" si="28"/>
        <v>1061.3268333054461</v>
      </c>
      <c r="L111" s="458">
        <f t="shared" si="28"/>
        <v>1416.7813279370127</v>
      </c>
      <c r="M111" s="458">
        <f t="shared" si="28"/>
        <v>1773.0850162775514</v>
      </c>
      <c r="N111" s="458">
        <f>SUM(N109:N110)</f>
        <v>2094.3269129561681</v>
      </c>
      <c r="O111" s="458">
        <f t="shared" si="28"/>
        <v>2297.6210479384008</v>
      </c>
      <c r="P111" s="458">
        <f t="shared" si="28"/>
        <v>2420.4683314117065</v>
      </c>
      <c r="Q111" s="458">
        <f t="shared" si="28"/>
        <v>2425.8163518063616</v>
      </c>
      <c r="R111" s="458">
        <f>SUM(R109:R110)</f>
        <v>31765.285787622131</v>
      </c>
    </row>
    <row r="112" spans="2:18" outlineLevel="1" x14ac:dyDescent="0.3"/>
    <row r="113" spans="1:30" outlineLevel="1" x14ac:dyDescent="0.3"/>
    <row r="114" spans="1:30" outlineLevel="1" x14ac:dyDescent="0.3"/>
    <row r="115" spans="1:30" outlineLevel="1" x14ac:dyDescent="0.3">
      <c r="H115" s="512" t="s">
        <v>454</v>
      </c>
      <c r="I115" s="513"/>
      <c r="J115" s="513"/>
      <c r="K115" s="514"/>
      <c r="M115" s="515" t="s">
        <v>457</v>
      </c>
      <c r="N115" s="513"/>
      <c r="O115" s="513"/>
      <c r="P115" s="514"/>
    </row>
    <row r="116" spans="1:30" outlineLevel="1" x14ac:dyDescent="0.3">
      <c r="H116" s="497" t="s">
        <v>458</v>
      </c>
      <c r="I116" s="489"/>
      <c r="J116" s="498">
        <f>K116/$K$118</f>
        <v>0.34571422603697044</v>
      </c>
      <c r="K116" s="499">
        <f>SUM(I109:R109)</f>
        <v>15557.780499777571</v>
      </c>
      <c r="M116" s="509" t="s">
        <v>454</v>
      </c>
      <c r="N116" s="458"/>
      <c r="O116" s="458"/>
      <c r="P116" s="499">
        <f>K121</f>
        <v>44981.391855435191</v>
      </c>
    </row>
    <row r="117" spans="1:30" outlineLevel="1" x14ac:dyDescent="0.3">
      <c r="H117" s="500" t="s">
        <v>459</v>
      </c>
      <c r="I117" s="501"/>
      <c r="J117" s="502">
        <f>K117/$K$118</f>
        <v>0.65428577396302967</v>
      </c>
      <c r="K117" s="503">
        <f>SUM(I110:R110)</f>
        <v>29444.071689301374</v>
      </c>
      <c r="M117" s="510" t="s">
        <v>36</v>
      </c>
      <c r="N117" s="61"/>
      <c r="O117" s="61"/>
      <c r="P117" s="503">
        <f ca="1">'Operational Model'!I90</f>
        <v>3840.0633643571455</v>
      </c>
    </row>
    <row r="118" spans="1:30" outlineLevel="1" x14ac:dyDescent="0.3">
      <c r="H118" s="500" t="s">
        <v>454</v>
      </c>
      <c r="I118" s="501"/>
      <c r="J118" s="502">
        <f>K118/$K$118</f>
        <v>1</v>
      </c>
      <c r="K118" s="503">
        <f>SUM(K116:K117)</f>
        <v>45001.852189078942</v>
      </c>
      <c r="M118" s="510" t="s">
        <v>381</v>
      </c>
      <c r="N118" s="61"/>
      <c r="O118" s="61"/>
      <c r="P118" s="503">
        <f>-Inputs!E200</f>
        <v>0</v>
      </c>
    </row>
    <row r="119" spans="1:30" outlineLevel="1" x14ac:dyDescent="0.3">
      <c r="H119" s="504"/>
      <c r="I119" s="501"/>
      <c r="J119" s="61"/>
      <c r="K119" s="503"/>
      <c r="M119" s="511" t="s">
        <v>457</v>
      </c>
      <c r="N119" s="457"/>
      <c r="O119" s="457"/>
      <c r="P119" s="508">
        <f ca="1">SUM(P116:P118)</f>
        <v>48821.455219792333</v>
      </c>
    </row>
    <row r="120" spans="1:30" outlineLevel="1" x14ac:dyDescent="0.3">
      <c r="H120" s="505" t="s">
        <v>455</v>
      </c>
      <c r="I120" s="501"/>
      <c r="J120" s="61"/>
      <c r="K120" s="503">
        <f>SUM(I111:R111)</f>
        <v>45001.852189078949</v>
      </c>
    </row>
    <row r="121" spans="1:30" outlineLevel="1" x14ac:dyDescent="0.3">
      <c r="H121" s="506" t="s">
        <v>456</v>
      </c>
      <c r="I121" s="507"/>
      <c r="J121" s="457"/>
      <c r="K121" s="508">
        <f>XNPV(D91,H105:R105,H91:R91)</f>
        <v>44981.391855435191</v>
      </c>
    </row>
    <row r="122" spans="1:30" outlineLevel="1" x14ac:dyDescent="0.3"/>
    <row r="123" spans="1:30" outlineLevel="1" x14ac:dyDescent="0.3"/>
    <row r="124" spans="1:30" outlineLevel="1" x14ac:dyDescent="0.3">
      <c r="S124" s="545" t="s">
        <v>460</v>
      </c>
    </row>
    <row r="125" spans="1:30" outlineLevel="1" x14ac:dyDescent="0.3"/>
    <row r="126" spans="1:30" outlineLevel="1" x14ac:dyDescent="0.3"/>
    <row r="128" spans="1:30" s="149" customFormat="1" ht="18.75" customHeight="1" x14ac:dyDescent="0.3">
      <c r="A128" s="149" t="s">
        <v>33</v>
      </c>
      <c r="B128" s="152" t="s">
        <v>461</v>
      </c>
      <c r="C128" s="153"/>
      <c r="D128" s="153"/>
      <c r="E128" s="153"/>
      <c r="F128" s="153"/>
      <c r="G128" s="153"/>
      <c r="H128" s="153"/>
      <c r="I128" s="153"/>
      <c r="J128" s="153"/>
      <c r="K128" s="153"/>
      <c r="L128" s="153"/>
      <c r="M128" s="153"/>
      <c r="N128" s="153"/>
      <c r="O128" s="153"/>
      <c r="P128" s="153"/>
      <c r="Q128" s="153"/>
      <c r="R128" s="153"/>
      <c r="S128" s="153"/>
      <c r="T128"/>
      <c r="U128"/>
      <c r="V128"/>
      <c r="W128"/>
      <c r="X128"/>
      <c r="Y128"/>
      <c r="Z128"/>
      <c r="AA128"/>
      <c r="AB128"/>
      <c r="AC128"/>
      <c r="AD128"/>
    </row>
    <row r="129" spans="2:19" outlineLevel="1" x14ac:dyDescent="0.3"/>
    <row r="130" spans="2:19" outlineLevel="1" x14ac:dyDescent="0.3">
      <c r="B130" s="155" t="s">
        <v>24</v>
      </c>
    </row>
    <row r="131" spans="2:19" outlineLevel="1" x14ac:dyDescent="0.3">
      <c r="B131" s="155" t="str" cm="1">
        <f t="array" ref="B131">CONCATENATE("Model Running: ",INDEX(Inputs!$B$15:$B$17,Inputs!$D$8)," Drivers")</f>
        <v>Model Running: Base Case Drivers</v>
      </c>
    </row>
    <row r="132" spans="2:19" ht="15.75" outlineLevel="1" thickBot="1" x14ac:dyDescent="0.35"/>
    <row r="133" spans="2:19" outlineLevel="1" x14ac:dyDescent="0.3">
      <c r="B133" s="475" t="s">
        <v>462</v>
      </c>
      <c r="C133" s="92"/>
      <c r="D133" s="541">
        <f>G274</f>
        <v>9</v>
      </c>
      <c r="F133" s="480" t="s">
        <v>27</v>
      </c>
      <c r="G133" s="466"/>
      <c r="H133" s="474" t="s">
        <v>365</v>
      </c>
      <c r="I133" s="471" t="s">
        <v>444</v>
      </c>
      <c r="J133" s="471"/>
      <c r="K133" s="471"/>
      <c r="L133" s="471"/>
      <c r="M133" s="471"/>
      <c r="N133" s="471"/>
      <c r="O133" s="471"/>
      <c r="P133" s="471"/>
      <c r="Q133" s="471"/>
      <c r="R133" s="472"/>
      <c r="S133" s="473" t="s">
        <v>377</v>
      </c>
    </row>
    <row r="134" spans="2:19" outlineLevel="1" x14ac:dyDescent="0.3">
      <c r="B134" s="551" t="s">
        <v>375</v>
      </c>
      <c r="C134" s="1"/>
      <c r="D134" s="552">
        <f>G273</f>
        <v>0.1078789259490672</v>
      </c>
      <c r="F134" s="462" t="s">
        <v>440</v>
      </c>
      <c r="H134" s="469">
        <f>Inputs!$E$206</f>
        <v>46112</v>
      </c>
      <c r="I134" s="463">
        <f>Inputs!$E$204</f>
        <v>46387</v>
      </c>
      <c r="J134" s="463">
        <f>EDATE(I134,12)</f>
        <v>46752</v>
      </c>
      <c r="K134" s="463">
        <f t="shared" ref="K134:S134" si="29">EDATE(J134,12)</f>
        <v>47118</v>
      </c>
      <c r="L134" s="463">
        <f t="shared" si="29"/>
        <v>47483</v>
      </c>
      <c r="M134" s="463">
        <f t="shared" si="29"/>
        <v>47848</v>
      </c>
      <c r="N134" s="463">
        <f t="shared" si="29"/>
        <v>48213</v>
      </c>
      <c r="O134" s="463">
        <f t="shared" si="29"/>
        <v>48579</v>
      </c>
      <c r="P134" s="463">
        <f t="shared" si="29"/>
        <v>48944</v>
      </c>
      <c r="Q134" s="463">
        <f t="shared" si="29"/>
        <v>49309</v>
      </c>
      <c r="R134" s="464">
        <f t="shared" si="29"/>
        <v>49674</v>
      </c>
      <c r="S134" s="464">
        <f t="shared" si="29"/>
        <v>50040</v>
      </c>
    </row>
    <row r="135" spans="2:19" outlineLevel="1" x14ac:dyDescent="0.3">
      <c r="B135" s="553" t="s">
        <v>484</v>
      </c>
      <c r="C135" s="63"/>
      <c r="D135" s="554">
        <f>YEARFRAC(S134,S135)</f>
        <v>0.5</v>
      </c>
      <c r="F135" s="462" t="s">
        <v>441</v>
      </c>
      <c r="H135" s="470">
        <f>$H$90</f>
        <v>46112</v>
      </c>
      <c r="I135" s="468">
        <f>Inputs!$E$205</f>
        <v>46203</v>
      </c>
      <c r="J135" s="468">
        <f t="shared" ref="J135:S135" si="30">EDATE(I135,12)</f>
        <v>46568</v>
      </c>
      <c r="K135" s="468">
        <f t="shared" si="30"/>
        <v>46934</v>
      </c>
      <c r="L135" s="468">
        <f t="shared" si="30"/>
        <v>47299</v>
      </c>
      <c r="M135" s="468">
        <f t="shared" si="30"/>
        <v>47664</v>
      </c>
      <c r="N135" s="468">
        <f t="shared" si="30"/>
        <v>48029</v>
      </c>
      <c r="O135" s="468">
        <f t="shared" si="30"/>
        <v>48395</v>
      </c>
      <c r="P135" s="468">
        <f t="shared" si="30"/>
        <v>48760</v>
      </c>
      <c r="Q135" s="468">
        <f t="shared" si="30"/>
        <v>49125</v>
      </c>
      <c r="R135" s="467">
        <f t="shared" si="30"/>
        <v>49490</v>
      </c>
      <c r="S135" s="467">
        <f t="shared" si="30"/>
        <v>49856</v>
      </c>
    </row>
    <row r="136" spans="2:19" outlineLevel="1" x14ac:dyDescent="0.3"/>
    <row r="137" spans="2:19" outlineLevel="1" x14ac:dyDescent="0.3"/>
    <row r="138" spans="2:19" outlineLevel="1" x14ac:dyDescent="0.3">
      <c r="B138" s="481" t="s">
        <v>431</v>
      </c>
      <c r="H138" s="547"/>
      <c r="I138" s="458">
        <f>I43</f>
        <v>-492.06130456323888</v>
      </c>
      <c r="J138" s="458">
        <f t="shared" ref="J138:S138" si="31">J43</f>
        <v>121.45313311262839</v>
      </c>
      <c r="K138" s="458">
        <f t="shared" si="31"/>
        <v>1336.4626389682805</v>
      </c>
      <c r="L138" s="458">
        <f t="shared" si="31"/>
        <v>1976.5272388831852</v>
      </c>
      <c r="M138" s="458">
        <f t="shared" si="31"/>
        <v>2740.4497325080529</v>
      </c>
      <c r="N138" s="458">
        <f t="shared" si="31"/>
        <v>3586.1549907461949</v>
      </c>
      <c r="O138" s="458">
        <f t="shared" si="31"/>
        <v>4358.6829959211909</v>
      </c>
      <c r="P138" s="458">
        <f t="shared" si="31"/>
        <v>5087.0802563713778</v>
      </c>
      <c r="Q138" s="458">
        <f t="shared" si="31"/>
        <v>5648.3214530175828</v>
      </c>
      <c r="R138" s="458">
        <f t="shared" si="31"/>
        <v>5987.8234501530442</v>
      </c>
      <c r="S138" s="548">
        <f t="shared" si="31"/>
        <v>6295.0004843681982</v>
      </c>
    </row>
    <row r="139" spans="2:19" outlineLevel="1" x14ac:dyDescent="0.3">
      <c r="B139" s="481" t="s">
        <v>162</v>
      </c>
      <c r="H139" s="549"/>
      <c r="I139" s="457"/>
      <c r="J139" s="457"/>
      <c r="K139" s="457"/>
      <c r="L139" s="457"/>
      <c r="M139" s="457"/>
      <c r="N139" s="457"/>
      <c r="O139" s="457"/>
      <c r="P139" s="457"/>
      <c r="Q139" s="457"/>
      <c r="R139" s="457"/>
      <c r="S139" s="550">
        <f>S17</f>
        <v>8878.6142278545049</v>
      </c>
    </row>
    <row r="140" spans="2:19" outlineLevel="1" x14ac:dyDescent="0.3">
      <c r="H140" s="491"/>
      <c r="S140" s="54"/>
    </row>
    <row r="141" spans="2:19" outlineLevel="1" x14ac:dyDescent="0.3">
      <c r="B141" s="19" t="s">
        <v>447</v>
      </c>
      <c r="H141" s="491"/>
      <c r="S141" s="54"/>
    </row>
    <row r="142" spans="2:19" outlineLevel="1" x14ac:dyDescent="0.3">
      <c r="B142" s="51" t="s">
        <v>443</v>
      </c>
      <c r="H142" s="492">
        <v>0</v>
      </c>
      <c r="I142" s="54">
        <f>I138</f>
        <v>-492.06130456323888</v>
      </c>
      <c r="J142" s="54">
        <f t="shared" ref="J142:S142" si="32">J138</f>
        <v>121.45313311262839</v>
      </c>
      <c r="K142" s="54">
        <f t="shared" si="32"/>
        <v>1336.4626389682805</v>
      </c>
      <c r="L142" s="54">
        <f t="shared" si="32"/>
        <v>1976.5272388831852</v>
      </c>
      <c r="M142" s="54">
        <f t="shared" si="32"/>
        <v>2740.4497325080529</v>
      </c>
      <c r="N142" s="54">
        <f t="shared" si="32"/>
        <v>3586.1549907461949</v>
      </c>
      <c r="O142" s="54">
        <f t="shared" si="32"/>
        <v>4358.6829959211909</v>
      </c>
      <c r="P142" s="54">
        <f t="shared" si="32"/>
        <v>5087.0802563713778</v>
      </c>
      <c r="Q142" s="54">
        <f t="shared" si="32"/>
        <v>5648.3214530175828</v>
      </c>
      <c r="R142" s="54">
        <f t="shared" si="32"/>
        <v>5987.8234501530442</v>
      </c>
      <c r="S142" s="54">
        <f t="shared" si="32"/>
        <v>6295.0004843681982</v>
      </c>
    </row>
    <row r="143" spans="2:19" outlineLevel="1" x14ac:dyDescent="0.3">
      <c r="B143" s="51" t="s">
        <v>448</v>
      </c>
      <c r="H143" s="492">
        <v>0</v>
      </c>
      <c r="I143" s="492">
        <v>0</v>
      </c>
      <c r="J143" s="492">
        <v>0</v>
      </c>
      <c r="K143" s="492">
        <v>0</v>
      </c>
      <c r="L143" s="492">
        <v>0</v>
      </c>
      <c r="M143" s="492">
        <v>0</v>
      </c>
      <c r="N143" s="492">
        <v>0</v>
      </c>
      <c r="O143" s="492">
        <v>0</v>
      </c>
      <c r="P143" s="492">
        <v>0</v>
      </c>
      <c r="Q143" s="492">
        <v>0</v>
      </c>
      <c r="R143" s="492">
        <v>0</v>
      </c>
      <c r="S143" s="54">
        <f>S139*D133/(1+D134)^D135</f>
        <v>75917.438317651773</v>
      </c>
    </row>
    <row r="144" spans="2:19" outlineLevel="1" x14ac:dyDescent="0.3">
      <c r="B144" s="51" t="s">
        <v>449</v>
      </c>
      <c r="H144" s="555">
        <f>SUM(H142:H143)</f>
        <v>0</v>
      </c>
      <c r="I144" s="555">
        <f>SUM(I142:I143)</f>
        <v>-492.06130456323888</v>
      </c>
      <c r="J144" s="555">
        <f t="shared" ref="J144:S144" si="33">SUM(J142:J143)</f>
        <v>121.45313311262839</v>
      </c>
      <c r="K144" s="555">
        <f t="shared" si="33"/>
        <v>1336.4626389682805</v>
      </c>
      <c r="L144" s="555">
        <f t="shared" si="33"/>
        <v>1976.5272388831852</v>
      </c>
      <c r="M144" s="555">
        <f t="shared" si="33"/>
        <v>2740.4497325080529</v>
      </c>
      <c r="N144" s="555">
        <f t="shared" si="33"/>
        <v>3586.1549907461949</v>
      </c>
      <c r="O144" s="555">
        <f t="shared" si="33"/>
        <v>4358.6829959211909</v>
      </c>
      <c r="P144" s="555">
        <f t="shared" si="33"/>
        <v>5087.0802563713778</v>
      </c>
      <c r="Q144" s="555">
        <f t="shared" si="33"/>
        <v>5648.3214530175828</v>
      </c>
      <c r="R144" s="555">
        <f t="shared" si="33"/>
        <v>5987.8234501530442</v>
      </c>
      <c r="S144" s="555">
        <f t="shared" si="33"/>
        <v>82212.438802019969</v>
      </c>
    </row>
    <row r="145" spans="2:19" outlineLevel="1" x14ac:dyDescent="0.3">
      <c r="H145" s="491"/>
      <c r="S145" s="54"/>
    </row>
    <row r="146" spans="2:19" outlineLevel="1" x14ac:dyDescent="0.3">
      <c r="B146" s="19" t="s">
        <v>450</v>
      </c>
      <c r="H146" s="491"/>
      <c r="S146" s="54"/>
    </row>
    <row r="147" spans="2:19" outlineLevel="1" x14ac:dyDescent="0.3">
      <c r="B147" s="53" t="s">
        <v>451</v>
      </c>
      <c r="H147" s="494">
        <v>0</v>
      </c>
      <c r="I147" s="484">
        <f t="shared" ref="I147:S147" si="34">YEARFRAC(H134,I134)</f>
        <v>0.75</v>
      </c>
      <c r="J147" s="484">
        <f t="shared" si="34"/>
        <v>1</v>
      </c>
      <c r="K147" s="484">
        <f t="shared" si="34"/>
        <v>1</v>
      </c>
      <c r="L147" s="484">
        <f t="shared" si="34"/>
        <v>1</v>
      </c>
      <c r="M147" s="484">
        <f t="shared" si="34"/>
        <v>1</v>
      </c>
      <c r="N147" s="484">
        <f t="shared" si="34"/>
        <v>1</v>
      </c>
      <c r="O147" s="484">
        <f t="shared" si="34"/>
        <v>1</v>
      </c>
      <c r="P147" s="484">
        <f t="shared" si="34"/>
        <v>1</v>
      </c>
      <c r="Q147" s="484">
        <f t="shared" si="34"/>
        <v>1</v>
      </c>
      <c r="R147" s="484">
        <f t="shared" si="34"/>
        <v>1</v>
      </c>
      <c r="S147" s="485">
        <f t="shared" si="34"/>
        <v>1</v>
      </c>
    </row>
    <row r="148" spans="2:19" outlineLevel="1" x14ac:dyDescent="0.3">
      <c r="B148" s="53" t="s">
        <v>443</v>
      </c>
      <c r="H148" s="557">
        <v>0</v>
      </c>
      <c r="I148" s="54">
        <f>I142*I147</f>
        <v>-369.04597842242913</v>
      </c>
      <c r="J148" s="54">
        <f t="shared" ref="J148:S148" si="35">J142*J147</f>
        <v>121.45313311262839</v>
      </c>
      <c r="K148" s="54">
        <f t="shared" si="35"/>
        <v>1336.4626389682805</v>
      </c>
      <c r="L148" s="54">
        <f t="shared" si="35"/>
        <v>1976.5272388831852</v>
      </c>
      <c r="M148" s="54">
        <f t="shared" si="35"/>
        <v>2740.4497325080529</v>
      </c>
      <c r="N148" s="54">
        <f t="shared" si="35"/>
        <v>3586.1549907461949</v>
      </c>
      <c r="O148" s="54">
        <f t="shared" si="35"/>
        <v>4358.6829959211909</v>
      </c>
      <c r="P148" s="54">
        <f t="shared" si="35"/>
        <v>5087.0802563713778</v>
      </c>
      <c r="Q148" s="54">
        <f t="shared" si="35"/>
        <v>5648.3214530175828</v>
      </c>
      <c r="R148" s="54">
        <f t="shared" si="35"/>
        <v>5987.8234501530442</v>
      </c>
      <c r="S148" s="54">
        <f t="shared" si="35"/>
        <v>6295.0004843681982</v>
      </c>
    </row>
    <row r="149" spans="2:19" outlineLevel="1" x14ac:dyDescent="0.3">
      <c r="B149" s="53" t="s">
        <v>448</v>
      </c>
      <c r="H149" s="558">
        <v>0</v>
      </c>
      <c r="I149" s="559">
        <f>I143*I147</f>
        <v>0</v>
      </c>
      <c r="J149" s="559">
        <f t="shared" ref="J149:S149" si="36">J143*J147</f>
        <v>0</v>
      </c>
      <c r="K149" s="559">
        <f t="shared" si="36"/>
        <v>0</v>
      </c>
      <c r="L149" s="559">
        <f t="shared" si="36"/>
        <v>0</v>
      </c>
      <c r="M149" s="559">
        <f t="shared" si="36"/>
        <v>0</v>
      </c>
      <c r="N149" s="559">
        <f t="shared" si="36"/>
        <v>0</v>
      </c>
      <c r="O149" s="559">
        <f t="shared" si="36"/>
        <v>0</v>
      </c>
      <c r="P149" s="559">
        <f t="shared" si="36"/>
        <v>0</v>
      </c>
      <c r="Q149" s="559">
        <f t="shared" si="36"/>
        <v>0</v>
      </c>
      <c r="R149" s="559">
        <f t="shared" si="36"/>
        <v>0</v>
      </c>
      <c r="S149" s="559">
        <f t="shared" si="36"/>
        <v>75917.438317651773</v>
      </c>
    </row>
    <row r="150" spans="2:19" outlineLevel="1" x14ac:dyDescent="0.3">
      <c r="B150" s="53" t="s">
        <v>449</v>
      </c>
      <c r="H150" s="556">
        <f>SUM(H148:H149)</f>
        <v>0</v>
      </c>
      <c r="I150" s="458">
        <f>SUM(I148:I149)</f>
        <v>-369.04597842242913</v>
      </c>
      <c r="J150" s="458">
        <f t="shared" ref="J150:S150" si="37">SUM(J148:J149)</f>
        <v>121.45313311262839</v>
      </c>
      <c r="K150" s="458">
        <f t="shared" si="37"/>
        <v>1336.4626389682805</v>
      </c>
      <c r="L150" s="458">
        <f t="shared" si="37"/>
        <v>1976.5272388831852</v>
      </c>
      <c r="M150" s="458">
        <f t="shared" si="37"/>
        <v>2740.4497325080529</v>
      </c>
      <c r="N150" s="458">
        <f t="shared" si="37"/>
        <v>3586.1549907461949</v>
      </c>
      <c r="O150" s="458">
        <f t="shared" si="37"/>
        <v>4358.6829959211909</v>
      </c>
      <c r="P150" s="458">
        <f t="shared" si="37"/>
        <v>5087.0802563713778</v>
      </c>
      <c r="Q150" s="458">
        <f t="shared" si="37"/>
        <v>5648.3214530175828</v>
      </c>
      <c r="R150" s="458">
        <f t="shared" si="37"/>
        <v>5987.8234501530442</v>
      </c>
      <c r="S150" s="458">
        <f t="shared" si="37"/>
        <v>82212.438802019969</v>
      </c>
    </row>
    <row r="151" spans="2:19" outlineLevel="1" x14ac:dyDescent="0.3">
      <c r="H151" s="491"/>
      <c r="S151" s="54"/>
    </row>
    <row r="152" spans="2:19" outlineLevel="1" x14ac:dyDescent="0.3">
      <c r="B152" s="19" t="s">
        <v>452</v>
      </c>
      <c r="H152" s="491"/>
      <c r="S152" s="54"/>
    </row>
    <row r="153" spans="2:19" outlineLevel="1" x14ac:dyDescent="0.3">
      <c r="B153" s="53" t="s">
        <v>453</v>
      </c>
      <c r="H153" s="496">
        <v>0</v>
      </c>
      <c r="I153" s="486">
        <f t="shared" ref="I153:S153" si="38">H153+YEARFRAC(H135,I135)</f>
        <v>0.25</v>
      </c>
      <c r="J153" s="486">
        <f t="shared" si="38"/>
        <v>1.25</v>
      </c>
      <c r="K153" s="486">
        <f t="shared" si="38"/>
        <v>2.25</v>
      </c>
      <c r="L153" s="486">
        <f t="shared" si="38"/>
        <v>3.25</v>
      </c>
      <c r="M153" s="486">
        <f t="shared" si="38"/>
        <v>4.25</v>
      </c>
      <c r="N153" s="486">
        <f t="shared" si="38"/>
        <v>5.25</v>
      </c>
      <c r="O153" s="486">
        <f t="shared" si="38"/>
        <v>6.25</v>
      </c>
      <c r="P153" s="486">
        <f t="shared" si="38"/>
        <v>7.25</v>
      </c>
      <c r="Q153" s="486">
        <f t="shared" si="38"/>
        <v>8.25</v>
      </c>
      <c r="R153" s="486">
        <f t="shared" si="38"/>
        <v>9.25</v>
      </c>
      <c r="S153" s="487">
        <f t="shared" si="38"/>
        <v>10.25</v>
      </c>
    </row>
    <row r="154" spans="2:19" outlineLevel="1" x14ac:dyDescent="0.3">
      <c r="B154" s="53" t="s">
        <v>444</v>
      </c>
      <c r="H154" s="492">
        <v>0</v>
      </c>
      <c r="I154" s="54">
        <f>I148/(1+$D$134)^I$153</f>
        <v>-359.71405048415625</v>
      </c>
      <c r="J154" s="54">
        <f t="shared" ref="J154:R154" si="39">J148/(1+$D$134)^J$153</f>
        <v>106.85463030832558</v>
      </c>
      <c r="K154" s="54">
        <f t="shared" si="39"/>
        <v>1061.3268333054461</v>
      </c>
      <c r="L154" s="54">
        <f t="shared" si="39"/>
        <v>1416.7813279370127</v>
      </c>
      <c r="M154" s="54">
        <f t="shared" si="39"/>
        <v>1773.0850162775514</v>
      </c>
      <c r="N154" s="54">
        <f t="shared" si="39"/>
        <v>2094.3269129561681</v>
      </c>
      <c r="O154" s="54">
        <f t="shared" si="39"/>
        <v>2297.6210479384008</v>
      </c>
      <c r="P154" s="54">
        <f t="shared" si="39"/>
        <v>2420.4683314117065</v>
      </c>
      <c r="Q154" s="54">
        <f t="shared" si="39"/>
        <v>2425.8163518063616</v>
      </c>
      <c r="R154" s="54">
        <f t="shared" si="39"/>
        <v>2321.214098320756</v>
      </c>
      <c r="S154" s="54">
        <f>S148/(1+$D$134)^S$153</f>
        <v>2202.6712306005388</v>
      </c>
    </row>
    <row r="155" spans="2:19" outlineLevel="1" x14ac:dyDescent="0.3">
      <c r="B155" s="53" t="s">
        <v>448</v>
      </c>
      <c r="H155" s="492">
        <v>0</v>
      </c>
      <c r="I155" s="559">
        <f>I149/(1+$D$134)^I$153</f>
        <v>0</v>
      </c>
      <c r="J155" s="559">
        <f t="shared" ref="J155:R155" si="40">J149/(1+$D$134)^J$153</f>
        <v>0</v>
      </c>
      <c r="K155" s="559">
        <f t="shared" si="40"/>
        <v>0</v>
      </c>
      <c r="L155" s="559">
        <f t="shared" si="40"/>
        <v>0</v>
      </c>
      <c r="M155" s="559">
        <f t="shared" si="40"/>
        <v>0</v>
      </c>
      <c r="N155" s="559">
        <f t="shared" si="40"/>
        <v>0</v>
      </c>
      <c r="O155" s="559">
        <f t="shared" si="40"/>
        <v>0</v>
      </c>
      <c r="P155" s="559">
        <f t="shared" si="40"/>
        <v>0</v>
      </c>
      <c r="Q155" s="559">
        <f t="shared" si="40"/>
        <v>0</v>
      </c>
      <c r="R155" s="559">
        <f t="shared" si="40"/>
        <v>0</v>
      </c>
      <c r="S155" s="559">
        <f>S149/(1+$D$134)^S$153</f>
        <v>26564.121432306099</v>
      </c>
    </row>
    <row r="156" spans="2:19" outlineLevel="1" x14ac:dyDescent="0.3">
      <c r="B156" s="53" t="s">
        <v>449</v>
      </c>
      <c r="H156" s="555">
        <f>SUM(H154:H155)</f>
        <v>0</v>
      </c>
      <c r="I156" s="555">
        <f>SUM(I154:I155)</f>
        <v>-359.71405048415625</v>
      </c>
      <c r="J156" s="555">
        <f t="shared" ref="J156:S156" si="41">SUM(J154:J155)</f>
        <v>106.85463030832558</v>
      </c>
      <c r="K156" s="555">
        <f t="shared" si="41"/>
        <v>1061.3268333054461</v>
      </c>
      <c r="L156" s="555">
        <f t="shared" si="41"/>
        <v>1416.7813279370127</v>
      </c>
      <c r="M156" s="555">
        <f t="shared" si="41"/>
        <v>1773.0850162775514</v>
      </c>
      <c r="N156" s="555">
        <f t="shared" si="41"/>
        <v>2094.3269129561681</v>
      </c>
      <c r="O156" s="555">
        <f t="shared" si="41"/>
        <v>2297.6210479384008</v>
      </c>
      <c r="P156" s="555">
        <f t="shared" si="41"/>
        <v>2420.4683314117065</v>
      </c>
      <c r="Q156" s="555">
        <f t="shared" si="41"/>
        <v>2425.8163518063616</v>
      </c>
      <c r="R156" s="555">
        <f t="shared" si="41"/>
        <v>2321.214098320756</v>
      </c>
      <c r="S156" s="555">
        <f t="shared" si="41"/>
        <v>28766.792662906639</v>
      </c>
    </row>
    <row r="157" spans="2:19" outlineLevel="1" x14ac:dyDescent="0.3"/>
    <row r="158" spans="2:19" outlineLevel="1" x14ac:dyDescent="0.3"/>
    <row r="159" spans="2:19" outlineLevel="1" x14ac:dyDescent="0.3"/>
    <row r="160" spans="2:19" outlineLevel="1" x14ac:dyDescent="0.3">
      <c r="H160" s="512" t="s">
        <v>454</v>
      </c>
      <c r="I160" s="513"/>
      <c r="J160" s="513"/>
      <c r="K160" s="514"/>
      <c r="M160" s="515" t="s">
        <v>457</v>
      </c>
      <c r="N160" s="513"/>
      <c r="O160" s="513"/>
      <c r="P160" s="514"/>
    </row>
    <row r="161" spans="1:30" outlineLevel="1" x14ac:dyDescent="0.3">
      <c r="H161" s="497" t="s">
        <v>458</v>
      </c>
      <c r="I161" s="489"/>
      <c r="J161" s="498">
        <f>K161/$K$163</f>
        <v>0.40069086881428123</v>
      </c>
      <c r="K161" s="499">
        <f>SUM(I154:S154)</f>
        <v>17760.45173037811</v>
      </c>
      <c r="M161" s="509" t="s">
        <v>454</v>
      </c>
      <c r="N161" s="458"/>
      <c r="O161" s="458"/>
      <c r="P161" s="499">
        <f>K166</f>
        <v>44296.376321360432</v>
      </c>
    </row>
    <row r="162" spans="1:30" outlineLevel="1" x14ac:dyDescent="0.3">
      <c r="H162" s="500" t="s">
        <v>459</v>
      </c>
      <c r="I162" s="501"/>
      <c r="J162" s="502">
        <f>K162/$K$163</f>
        <v>0.59930913118571871</v>
      </c>
      <c r="K162" s="503">
        <f>SUM(I155:S155)</f>
        <v>26564.121432306099</v>
      </c>
      <c r="M162" s="510" t="s">
        <v>36</v>
      </c>
      <c r="N162" s="61"/>
      <c r="O162" s="61"/>
      <c r="P162" s="503">
        <f ca="1">'Operational Model'!I90</f>
        <v>3840.0633643571455</v>
      </c>
    </row>
    <row r="163" spans="1:30" outlineLevel="1" x14ac:dyDescent="0.3">
      <c r="H163" s="500" t="s">
        <v>454</v>
      </c>
      <c r="I163" s="501"/>
      <c r="J163" s="502">
        <f>K163/$K$163</f>
        <v>1</v>
      </c>
      <c r="K163" s="503">
        <f>SUM(K161:K162)</f>
        <v>44324.57316268421</v>
      </c>
      <c r="M163" s="510" t="s">
        <v>381</v>
      </c>
      <c r="N163" s="61"/>
      <c r="O163" s="61"/>
      <c r="P163" s="503">
        <f>-Inputs!E245</f>
        <v>0</v>
      </c>
    </row>
    <row r="164" spans="1:30" outlineLevel="1" x14ac:dyDescent="0.3">
      <c r="H164" s="504"/>
      <c r="I164" s="501"/>
      <c r="J164" s="61"/>
      <c r="K164" s="503"/>
      <c r="M164" s="511" t="s">
        <v>457</v>
      </c>
      <c r="N164" s="457"/>
      <c r="O164" s="457"/>
      <c r="P164" s="508">
        <f ca="1">SUM(P161:P163)</f>
        <v>48136.439685717574</v>
      </c>
    </row>
    <row r="165" spans="1:30" outlineLevel="1" x14ac:dyDescent="0.3">
      <c r="H165" s="505" t="s">
        <v>455</v>
      </c>
      <c r="I165" s="501"/>
      <c r="J165" s="61"/>
      <c r="K165" s="503">
        <f>SUM(I156:S156)</f>
        <v>44324.57316268421</v>
      </c>
    </row>
    <row r="166" spans="1:30" outlineLevel="1" x14ac:dyDescent="0.3">
      <c r="H166" s="506" t="s">
        <v>456</v>
      </c>
      <c r="I166" s="507"/>
      <c r="J166" s="457"/>
      <c r="K166" s="508">
        <f>XNPV(D134,H150:S150,H135:S135)</f>
        <v>44296.376321360432</v>
      </c>
    </row>
    <row r="167" spans="1:30" outlineLevel="1" x14ac:dyDescent="0.3"/>
    <row r="168" spans="1:30" outlineLevel="1" x14ac:dyDescent="0.3"/>
    <row r="169" spans="1:30" outlineLevel="1" x14ac:dyDescent="0.3">
      <c r="R169" s="577"/>
      <c r="S169" s="516" t="s">
        <v>482</v>
      </c>
    </row>
    <row r="170" spans="1:30" outlineLevel="1" x14ac:dyDescent="0.3">
      <c r="R170" s="577"/>
      <c r="S170" s="544" t="s">
        <v>460</v>
      </c>
    </row>
    <row r="171" spans="1:30" outlineLevel="1" x14ac:dyDescent="0.3">
      <c r="S171" s="544"/>
    </row>
    <row r="172" spans="1:30" outlineLevel="1" x14ac:dyDescent="0.3"/>
    <row r="174" spans="1:30" s="149" customFormat="1" ht="18.75" customHeight="1" x14ac:dyDescent="0.3">
      <c r="A174" s="149" t="s">
        <v>33</v>
      </c>
      <c r="B174" s="152" t="s">
        <v>463</v>
      </c>
      <c r="C174" s="153"/>
      <c r="D174" s="153"/>
      <c r="E174" s="153"/>
      <c r="F174" s="153"/>
      <c r="G174" s="153"/>
      <c r="H174" s="153"/>
      <c r="I174" s="153"/>
      <c r="J174" s="153"/>
      <c r="K174" s="153"/>
      <c r="L174" s="153"/>
      <c r="M174" s="153"/>
      <c r="N174" s="153"/>
      <c r="O174" s="153"/>
      <c r="P174" s="153"/>
      <c r="Q174" s="153"/>
      <c r="R174" s="153"/>
      <c r="S174" s="153"/>
      <c r="T174"/>
      <c r="U174"/>
      <c r="V174"/>
      <c r="W174"/>
      <c r="X174"/>
      <c r="Y174"/>
      <c r="Z174"/>
      <c r="AA174"/>
      <c r="AB174"/>
      <c r="AC174"/>
      <c r="AD174"/>
    </row>
    <row r="175" spans="1:30" outlineLevel="1" x14ac:dyDescent="0.3"/>
    <row r="176" spans="1:30" outlineLevel="1" x14ac:dyDescent="0.3">
      <c r="B176" s="155" t="s">
        <v>24</v>
      </c>
    </row>
    <row r="177" spans="2:18" outlineLevel="1" x14ac:dyDescent="0.3">
      <c r="B177" s="155" t="str" cm="1">
        <f t="array" ref="B177">CONCATENATE("Model Running: ",INDEX(Inputs!$B$15:$B$17,Inputs!$D$8)," Drivers")</f>
        <v>Model Running: Base Case Drivers</v>
      </c>
    </row>
    <row r="178" spans="2:18" outlineLevel="1" x14ac:dyDescent="0.3"/>
    <row r="179" spans="2:18" outlineLevel="1" x14ac:dyDescent="0.3"/>
    <row r="180" spans="2:18" outlineLevel="1" x14ac:dyDescent="0.3">
      <c r="B180" s="522"/>
      <c r="C180" s="523"/>
      <c r="D180" s="524"/>
      <c r="E180" s="523"/>
      <c r="F180" s="525"/>
      <c r="G180" s="128"/>
      <c r="H180" s="526"/>
      <c r="I180" s="527"/>
      <c r="J180" s="530"/>
      <c r="K180" s="530"/>
      <c r="L180" s="530"/>
      <c r="M180" s="530"/>
      <c r="N180" s="526" t="s">
        <v>466</v>
      </c>
      <c r="O180" s="527"/>
      <c r="P180" s="523"/>
      <c r="Q180" s="526" t="s">
        <v>466</v>
      </c>
      <c r="R180" s="527"/>
    </row>
    <row r="181" spans="2:18" outlineLevel="1" x14ac:dyDescent="0.3">
      <c r="B181" s="522" t="s">
        <v>465</v>
      </c>
      <c r="C181" s="523"/>
      <c r="D181" s="528" t="s">
        <v>413</v>
      </c>
      <c r="E181" s="523"/>
      <c r="F181" s="525" t="s">
        <v>464</v>
      </c>
      <c r="G181" s="531"/>
      <c r="H181" s="529" t="s">
        <v>159</v>
      </c>
      <c r="I181" s="527"/>
      <c r="J181" s="530"/>
      <c r="K181" s="529" t="s">
        <v>162</v>
      </c>
      <c r="L181" s="527"/>
      <c r="M181" s="530"/>
      <c r="N181" s="529" t="s">
        <v>159</v>
      </c>
      <c r="O181" s="527"/>
      <c r="P181" s="523"/>
      <c r="Q181" s="529" t="s">
        <v>162</v>
      </c>
      <c r="R181" s="527"/>
    </row>
    <row r="182" spans="2:18" s="408" customFormat="1" outlineLevel="1" x14ac:dyDescent="0.3">
      <c r="B182" s="532"/>
      <c r="C182" s="533"/>
      <c r="D182" s="533"/>
      <c r="E182" s="533"/>
      <c r="F182" s="533"/>
      <c r="G182" s="533"/>
      <c r="H182" s="533" t="s">
        <v>293</v>
      </c>
      <c r="I182" s="533" t="s">
        <v>294</v>
      </c>
      <c r="J182" s="533"/>
      <c r="K182" s="533" t="s">
        <v>293</v>
      </c>
      <c r="L182" s="533" t="s">
        <v>294</v>
      </c>
      <c r="M182" s="532"/>
      <c r="N182" s="533" t="s">
        <v>293</v>
      </c>
      <c r="O182" s="533" t="s">
        <v>294</v>
      </c>
      <c r="P182" s="533"/>
      <c r="Q182" s="533" t="s">
        <v>293</v>
      </c>
      <c r="R182" s="533" t="s">
        <v>294</v>
      </c>
    </row>
    <row r="183" spans="2:18" s="408" customFormat="1" outlineLevel="1" x14ac:dyDescent="0.3">
      <c r="B183" s="534"/>
      <c r="C183" s="523"/>
      <c r="D183" s="523"/>
      <c r="E183" s="523"/>
      <c r="F183" s="523"/>
      <c r="G183" s="523"/>
      <c r="H183" s="523"/>
      <c r="I183" s="523"/>
      <c r="J183" s="523"/>
      <c r="K183" s="523"/>
      <c r="L183" s="523"/>
      <c r="M183" s="534"/>
      <c r="N183" s="523"/>
      <c r="O183" s="523"/>
      <c r="P183" s="523"/>
      <c r="Q183" s="523"/>
      <c r="R183" s="523"/>
    </row>
    <row r="184" spans="2:18" outlineLevel="1" x14ac:dyDescent="0.3">
      <c r="B184" s="571" t="str">
        <f>Inputs!Q135</f>
        <v>Qt Group</v>
      </c>
      <c r="C184" s="559"/>
      <c r="D184" s="574" t="str">
        <f>Inputs!S135</f>
        <v>Finland</v>
      </c>
      <c r="E184" s="492"/>
      <c r="F184" s="492">
        <v>534000</v>
      </c>
      <c r="G184" s="492"/>
      <c r="H184" s="540">
        <v>240900</v>
      </c>
      <c r="I184" s="492">
        <v>258400</v>
      </c>
      <c r="K184" s="492">
        <v>58000</v>
      </c>
      <c r="L184" s="492">
        <v>77100</v>
      </c>
      <c r="N184" s="535">
        <f>$F184/H184</f>
        <v>2.2166874221668742</v>
      </c>
      <c r="O184" s="535">
        <f>$F184/I184</f>
        <v>2.0665634674922599</v>
      </c>
      <c r="Q184" s="535">
        <f>$F184/K184</f>
        <v>9.2068965517241388</v>
      </c>
      <c r="R184" s="535">
        <f>$F184/L184</f>
        <v>6.9260700389105061</v>
      </c>
    </row>
    <row r="185" spans="2:18" outlineLevel="1" x14ac:dyDescent="0.3">
      <c r="B185" s="571" t="str">
        <f>Inputs!Q136</f>
        <v>Truecaller</v>
      </c>
      <c r="C185" s="559"/>
      <c r="D185" s="574" t="str">
        <f>Inputs!S136</f>
        <v>Sweden</v>
      </c>
      <c r="E185" s="492"/>
      <c r="F185" s="492">
        <v>535000</v>
      </c>
      <c r="G185" s="492"/>
      <c r="H185" s="540">
        <v>152100</v>
      </c>
      <c r="I185" s="492">
        <v>184300</v>
      </c>
      <c r="K185" s="492">
        <v>37900</v>
      </c>
      <c r="L185" s="492">
        <v>56500</v>
      </c>
      <c r="N185" s="535">
        <f t="shared" ref="N185:N188" si="42">$F185/H185</f>
        <v>3.5174227481919789</v>
      </c>
      <c r="O185" s="535">
        <f t="shared" ref="O185:O188" si="43">$F185/I185</f>
        <v>2.9028757460661962</v>
      </c>
      <c r="Q185" s="535">
        <f t="shared" ref="Q185:Q188" si="44">$F185/K185</f>
        <v>14.116094986807388</v>
      </c>
      <c r="R185" s="535">
        <f t="shared" ref="R185:R188" si="45">$F185/L185</f>
        <v>9.4690265486725664</v>
      </c>
    </row>
    <row r="186" spans="2:18" outlineLevel="1" x14ac:dyDescent="0.3">
      <c r="B186" s="571" t="str">
        <f>Inputs!Q137</f>
        <v xml:space="preserve">Vitec Software </v>
      </c>
      <c r="C186" s="559"/>
      <c r="D186" s="574" t="str">
        <f>Inputs!S137</f>
        <v>Sweden</v>
      </c>
      <c r="E186" s="492"/>
      <c r="F186" s="492">
        <v>1090000</v>
      </c>
      <c r="G186" s="492"/>
      <c r="H186" s="540">
        <v>340600</v>
      </c>
      <c r="I186" s="492">
        <v>359200</v>
      </c>
      <c r="K186" s="492">
        <v>136600</v>
      </c>
      <c r="L186" s="492">
        <v>147600</v>
      </c>
      <c r="N186" s="535">
        <f t="shared" si="42"/>
        <v>3.2002348796241926</v>
      </c>
      <c r="O186" s="535">
        <f t="shared" si="43"/>
        <v>3.0345211581291758</v>
      </c>
      <c r="Q186" s="535">
        <f t="shared" si="44"/>
        <v>7.9795021961932653</v>
      </c>
      <c r="R186" s="535">
        <f t="shared" si="45"/>
        <v>7.384823848238482</v>
      </c>
    </row>
    <row r="187" spans="2:18" outlineLevel="1" x14ac:dyDescent="0.3">
      <c r="B187" s="571" t="str">
        <f>Inputs!Q138</f>
        <v>TeamViewer</v>
      </c>
      <c r="C187" s="559"/>
      <c r="D187" s="574" t="str">
        <f>Inputs!S138</f>
        <v>Germany</v>
      </c>
      <c r="E187" s="492"/>
      <c r="F187" s="492">
        <v>1240000</v>
      </c>
      <c r="G187" s="492"/>
      <c r="H187" s="540">
        <v>760300</v>
      </c>
      <c r="I187" s="492">
        <v>785300</v>
      </c>
      <c r="K187" s="492">
        <v>328200</v>
      </c>
      <c r="L187" s="492">
        <v>339400</v>
      </c>
      <c r="N187" s="535">
        <f t="shared" si="42"/>
        <v>1.6309351571747994</v>
      </c>
      <c r="O187" s="535">
        <f t="shared" si="43"/>
        <v>1.5790143894053228</v>
      </c>
      <c r="Q187" s="535">
        <f t="shared" si="44"/>
        <v>3.7781840341255331</v>
      </c>
      <c r="R187" s="535">
        <f t="shared" si="45"/>
        <v>3.6535061873895107</v>
      </c>
    </row>
    <row r="188" spans="2:18" outlineLevel="1" x14ac:dyDescent="0.3">
      <c r="B188" s="571" t="str">
        <f>Inputs!Q139</f>
        <v>Nemetschek</v>
      </c>
      <c r="C188" s="559"/>
      <c r="D188" s="574" t="str">
        <f>Inputs!S139</f>
        <v>Germany</v>
      </c>
      <c r="E188" s="492"/>
      <c r="F188" s="492">
        <v>7400000</v>
      </c>
      <c r="G188" s="492"/>
      <c r="H188" s="540">
        <v>1421000</v>
      </c>
      <c r="I188" s="492">
        <v>1722000</v>
      </c>
      <c r="K188" s="492">
        <v>440400</v>
      </c>
      <c r="L188" s="492">
        <v>564900</v>
      </c>
      <c r="N188" s="535">
        <f t="shared" si="42"/>
        <v>5.2076002814919073</v>
      </c>
      <c r="O188" s="535">
        <f t="shared" si="43"/>
        <v>4.2973286875725902</v>
      </c>
      <c r="Q188" s="535">
        <f t="shared" si="44"/>
        <v>16.802906448683014</v>
      </c>
      <c r="R188" s="535">
        <f t="shared" si="45"/>
        <v>13.099663657284475</v>
      </c>
    </row>
    <row r="189" spans="2:18" outlineLevel="1" x14ac:dyDescent="0.3">
      <c r="B189" s="571" t="str">
        <f>Inputs!Q140</f>
        <v>Sinch</v>
      </c>
      <c r="C189" s="559"/>
      <c r="D189" s="574" t="str">
        <f>Inputs!S140</f>
        <v>Sweden</v>
      </c>
      <c r="E189" s="492"/>
      <c r="F189" s="492">
        <v>3000000</v>
      </c>
      <c r="G189" s="492"/>
      <c r="H189" s="540">
        <v>2527000</v>
      </c>
      <c r="I189" s="492">
        <v>2683000</v>
      </c>
      <c r="K189" s="492">
        <v>333000</v>
      </c>
      <c r="L189" s="492">
        <v>363000</v>
      </c>
      <c r="N189" s="535">
        <f>$F189/H189</f>
        <v>1.187178472497032</v>
      </c>
      <c r="O189" s="535">
        <f>$F189/I189</f>
        <v>1.1181513231457323</v>
      </c>
      <c r="Q189" s="535">
        <f>$F189/K189</f>
        <v>9.0090090090090094</v>
      </c>
      <c r="R189" s="535">
        <f>$F189/L189</f>
        <v>8.2644628099173545</v>
      </c>
    </row>
    <row r="190" spans="2:18" outlineLevel="1" x14ac:dyDescent="0.3"/>
    <row r="191" spans="2:18" outlineLevel="1" x14ac:dyDescent="0.3"/>
    <row r="192" spans="2:18" outlineLevel="1" x14ac:dyDescent="0.3">
      <c r="H192" s="1"/>
      <c r="I192" s="61"/>
      <c r="J192" s="61"/>
      <c r="K192" s="61"/>
      <c r="L192" s="517" t="s">
        <v>383</v>
      </c>
      <c r="M192" s="518"/>
      <c r="N192" s="537">
        <f>AVERAGE(N184:N189)</f>
        <v>2.8266764935244635</v>
      </c>
      <c r="O192" s="537">
        <f>AVERAGE(O184:O189)</f>
        <v>2.499742461968546</v>
      </c>
      <c r="P192" s="537"/>
      <c r="Q192" s="537">
        <f>AVERAGE(Q184:Q189)</f>
        <v>10.148765537757058</v>
      </c>
      <c r="R192" s="537">
        <f>AVERAGE(R184:R189)</f>
        <v>8.1329255150688162</v>
      </c>
    </row>
    <row r="193" spans="2:18" outlineLevel="1" x14ac:dyDescent="0.3">
      <c r="H193" s="1"/>
      <c r="I193" s="61"/>
      <c r="J193" s="61"/>
      <c r="K193" s="61"/>
      <c r="L193" s="519" t="s">
        <v>389</v>
      </c>
      <c r="M193" s="61"/>
      <c r="N193" s="538">
        <f>MEDIAN(N184:N189)</f>
        <v>2.7084611508955332</v>
      </c>
      <c r="O193" s="538">
        <f>MEDIAN(O184:O189)</f>
        <v>2.4847196067792279</v>
      </c>
      <c r="P193" s="538"/>
      <c r="Q193" s="538">
        <f>MEDIAN(Q184:Q189)</f>
        <v>9.1079527803665741</v>
      </c>
      <c r="R193" s="538">
        <f>MEDIAN(R184:R189)</f>
        <v>7.8246433290779187</v>
      </c>
    </row>
    <row r="194" spans="2:18" outlineLevel="1" x14ac:dyDescent="0.3">
      <c r="H194" s="1"/>
      <c r="I194" s="61"/>
      <c r="J194" s="61"/>
      <c r="K194" s="61"/>
      <c r="L194" s="519" t="s">
        <v>467</v>
      </c>
      <c r="M194" s="61"/>
      <c r="N194" s="535">
        <f>MAX(N184:N189)</f>
        <v>5.2076002814919073</v>
      </c>
      <c r="O194" s="535">
        <f>MAX(O184:O189)</f>
        <v>4.2973286875725902</v>
      </c>
      <c r="P194" s="535"/>
      <c r="Q194" s="535">
        <f>MAX(Q184:Q189)</f>
        <v>16.802906448683014</v>
      </c>
      <c r="R194" s="535">
        <f>MAX(R184:R189)</f>
        <v>13.099663657284475</v>
      </c>
    </row>
    <row r="195" spans="2:18" outlineLevel="1" x14ac:dyDescent="0.3">
      <c r="H195" s="1"/>
      <c r="I195" s="61"/>
      <c r="J195" s="61"/>
      <c r="K195" s="61"/>
      <c r="L195" s="520" t="s">
        <v>468</v>
      </c>
      <c r="M195" s="521"/>
      <c r="N195" s="539">
        <f>MIN(N184:N189)</f>
        <v>1.187178472497032</v>
      </c>
      <c r="O195" s="539">
        <f>MIN(O184:O189)</f>
        <v>1.1181513231457323</v>
      </c>
      <c r="P195" s="539"/>
      <c r="Q195" s="539">
        <f>MIN(Q184:Q189)</f>
        <v>3.7781840341255331</v>
      </c>
      <c r="R195" s="539">
        <f>MIN(R184:R189)</f>
        <v>3.6535061873895107</v>
      </c>
    </row>
    <row r="196" spans="2:18" outlineLevel="1" x14ac:dyDescent="0.3"/>
    <row r="197" spans="2:18" outlineLevel="1" x14ac:dyDescent="0.3"/>
    <row r="198" spans="2:18" outlineLevel="1" x14ac:dyDescent="0.3">
      <c r="B198" s="520" t="s">
        <v>469</v>
      </c>
      <c r="C198" s="21"/>
      <c r="D198" s="21"/>
      <c r="E198" s="21"/>
      <c r="F198" s="21"/>
      <c r="G198" s="21"/>
      <c r="H198" s="542" t="s">
        <v>293</v>
      </c>
      <c r="I198" s="542" t="s">
        <v>294</v>
      </c>
    </row>
    <row r="199" spans="2:18" outlineLevel="1" x14ac:dyDescent="0.3">
      <c r="H199" s="54"/>
    </row>
    <row r="200" spans="2:18" outlineLevel="1" x14ac:dyDescent="0.3">
      <c r="B200" t="s">
        <v>159</v>
      </c>
      <c r="H200" s="54">
        <f>I10</f>
        <v>12275.187310817568</v>
      </c>
      <c r="I200" s="54">
        <f>J10</f>
        <v>15669.476576020183</v>
      </c>
    </row>
    <row r="201" spans="2:18" outlineLevel="1" x14ac:dyDescent="0.3">
      <c r="B201" t="s">
        <v>162</v>
      </c>
      <c r="H201" s="54">
        <f>I17</f>
        <v>-905.53700931952608</v>
      </c>
      <c r="I201" s="54">
        <f>J17</f>
        <v>-447.99229283742216</v>
      </c>
    </row>
    <row r="202" spans="2:18" outlineLevel="1" x14ac:dyDescent="0.3">
      <c r="H202" s="54"/>
    </row>
    <row r="203" spans="2:18" outlineLevel="1" x14ac:dyDescent="0.3">
      <c r="B203" s="19" t="s">
        <v>472</v>
      </c>
      <c r="H203" s="54"/>
    </row>
    <row r="204" spans="2:18" outlineLevel="1" x14ac:dyDescent="0.3">
      <c r="B204" s="51" t="s">
        <v>470</v>
      </c>
      <c r="H204" s="264">
        <f>N193</f>
        <v>2.7084611508955332</v>
      </c>
      <c r="I204" s="264">
        <f>O193</f>
        <v>2.4847196067792279</v>
      </c>
    </row>
    <row r="205" spans="2:18" outlineLevel="1" x14ac:dyDescent="0.3">
      <c r="B205" s="53" t="s">
        <v>471</v>
      </c>
      <c r="H205" s="54">
        <f>H200*H204</f>
        <v>33246.867951315195</v>
      </c>
      <c r="I205" s="54">
        <f>I200*I204</f>
        <v>38934.255676405191</v>
      </c>
    </row>
    <row r="206" spans="2:18" outlineLevel="1" x14ac:dyDescent="0.3">
      <c r="H206" s="54"/>
    </row>
    <row r="207" spans="2:18" outlineLevel="1" x14ac:dyDescent="0.3">
      <c r="B207" s="19" t="s">
        <v>473</v>
      </c>
      <c r="H207" s="54"/>
    </row>
    <row r="208" spans="2:18" outlineLevel="1" x14ac:dyDescent="0.3">
      <c r="B208" s="51" t="s">
        <v>474</v>
      </c>
      <c r="H208" s="264">
        <f>Q193</f>
        <v>9.1079527803665741</v>
      </c>
      <c r="I208" s="264">
        <f>R193</f>
        <v>7.8246433290779187</v>
      </c>
    </row>
    <row r="209" spans="1:30" outlineLevel="1" x14ac:dyDescent="0.3">
      <c r="B209" s="51" t="s">
        <v>471</v>
      </c>
      <c r="H209" s="543" t="str">
        <f>IF(H201&lt;0,"NM",H201*H208)</f>
        <v>NM</v>
      </c>
      <c r="I209" s="543" t="str">
        <f>IF(I201&lt;0,"NM",I201*I208)</f>
        <v>NM</v>
      </c>
    </row>
    <row r="210" spans="1:30" outlineLevel="1" x14ac:dyDescent="0.3">
      <c r="B210" s="51"/>
      <c r="H210" s="54"/>
    </row>
    <row r="211" spans="1:30" outlineLevel="1" x14ac:dyDescent="0.3">
      <c r="B211" s="19" t="s">
        <v>475</v>
      </c>
      <c r="H211" s="54"/>
    </row>
    <row r="212" spans="1:30" outlineLevel="1" x14ac:dyDescent="0.3">
      <c r="B212" s="51" t="s">
        <v>471</v>
      </c>
      <c r="H212" s="54">
        <f>H205</f>
        <v>33246.867951315195</v>
      </c>
      <c r="I212" s="54">
        <f>I205</f>
        <v>38934.255676405191</v>
      </c>
    </row>
    <row r="213" spans="1:30" outlineLevel="1" x14ac:dyDescent="0.3">
      <c r="B213" s="51" t="s">
        <v>476</v>
      </c>
      <c r="H213" s="54">
        <f ca="1">'Operational Model'!I90</f>
        <v>3840.0633643571455</v>
      </c>
      <c r="I213" s="54">
        <f ca="1">'Operational Model'!I90</f>
        <v>3840.0633643571455</v>
      </c>
      <c r="S213" s="545" t="s">
        <v>479</v>
      </c>
    </row>
    <row r="214" spans="1:30" outlineLevel="1" x14ac:dyDescent="0.3">
      <c r="B214" s="51" t="s">
        <v>477</v>
      </c>
      <c r="H214" s="54">
        <f>-Inputs!E200</f>
        <v>0</v>
      </c>
      <c r="I214" s="54">
        <f>-Inputs!E200</f>
        <v>0</v>
      </c>
      <c r="S214" s="568" t="s">
        <v>480</v>
      </c>
    </row>
    <row r="215" spans="1:30" outlineLevel="1" x14ac:dyDescent="0.3">
      <c r="B215" s="53" t="s">
        <v>478</v>
      </c>
      <c r="H215" s="54">
        <f ca="1">SUM(H212:H214)</f>
        <v>37086.931315672336</v>
      </c>
      <c r="I215" s="54">
        <f ca="1">SUM(I212:I214)</f>
        <v>42774.319040762333</v>
      </c>
      <c r="S215" s="569" t="s">
        <v>481</v>
      </c>
    </row>
    <row r="216" spans="1:30" outlineLevel="1" x14ac:dyDescent="0.3">
      <c r="H216" s="54"/>
    </row>
    <row r="217" spans="1:30" outlineLevel="1" x14ac:dyDescent="0.3">
      <c r="H217" s="54"/>
    </row>
    <row r="218" spans="1:30" x14ac:dyDescent="0.3">
      <c r="H218" s="54"/>
    </row>
    <row r="219" spans="1:30" s="149" customFormat="1" ht="18.75" customHeight="1" x14ac:dyDescent="0.3">
      <c r="A219" s="149" t="s">
        <v>33</v>
      </c>
      <c r="B219" s="152" t="s">
        <v>506</v>
      </c>
      <c r="C219" s="153"/>
      <c r="D219" s="153"/>
      <c r="E219" s="153"/>
      <c r="F219" s="153"/>
      <c r="G219" s="153"/>
      <c r="H219" s="153"/>
      <c r="I219" s="153"/>
      <c r="J219" s="153"/>
      <c r="K219" s="153"/>
      <c r="L219" s="153"/>
      <c r="M219" s="153"/>
      <c r="N219" s="153"/>
      <c r="O219" s="153"/>
      <c r="P219" s="153"/>
      <c r="Q219" s="153"/>
      <c r="R219" s="153"/>
      <c r="S219" s="153"/>
      <c r="T219"/>
      <c r="U219"/>
      <c r="V219"/>
      <c r="W219"/>
      <c r="X219"/>
      <c r="Y219"/>
      <c r="Z219"/>
      <c r="AA219"/>
      <c r="AB219"/>
      <c r="AC219"/>
      <c r="AD219"/>
    </row>
    <row r="220" spans="1:30" outlineLevel="1" x14ac:dyDescent="0.3"/>
    <row r="221" spans="1:30" outlineLevel="1" x14ac:dyDescent="0.3">
      <c r="B221" s="155" t="s">
        <v>24</v>
      </c>
    </row>
    <row r="222" spans="1:30" outlineLevel="1" x14ac:dyDescent="0.3">
      <c r="B222" s="155" t="str" cm="1">
        <f t="array" ref="B222">CONCATENATE("Model Running: ",INDEX(Inputs!$B$15:$B$17,Inputs!$D$8)," Drivers")</f>
        <v>Model Running: Base Case Drivers</v>
      </c>
    </row>
    <row r="223" spans="1:30" outlineLevel="1" x14ac:dyDescent="0.3"/>
    <row r="224" spans="1:30" outlineLevel="1" x14ac:dyDescent="0.3"/>
    <row r="225" spans="2:19" outlineLevel="1" x14ac:dyDescent="0.3">
      <c r="B225" s="520" t="s">
        <v>488</v>
      </c>
      <c r="C225" s="21"/>
      <c r="D225" s="520" t="s">
        <v>404</v>
      </c>
      <c r="E225" s="21"/>
      <c r="F225" s="520" t="s">
        <v>489</v>
      </c>
      <c r="G225" s="21"/>
      <c r="H225" s="520" t="s">
        <v>490</v>
      </c>
      <c r="I225" s="21"/>
      <c r="L225" s="578" t="s">
        <v>365</v>
      </c>
      <c r="M225" s="521"/>
      <c r="N225" s="521"/>
      <c r="O225" s="521"/>
      <c r="P225" s="521"/>
      <c r="Q225" s="521"/>
      <c r="R225" s="521"/>
    </row>
    <row r="226" spans="2:19" outlineLevel="1" x14ac:dyDescent="0.3">
      <c r="B226" s="19"/>
      <c r="D226" s="19"/>
      <c r="F226" s="19"/>
      <c r="H226" s="19"/>
      <c r="I226"/>
    </row>
    <row r="227" spans="2:19" outlineLevel="1" x14ac:dyDescent="0.3">
      <c r="B227" s="570">
        <v>45931</v>
      </c>
      <c r="C227" s="571"/>
      <c r="D227" s="571" t="s">
        <v>491</v>
      </c>
      <c r="E227" s="571"/>
      <c r="F227" s="571" t="s">
        <v>492</v>
      </c>
      <c r="G227" s="571"/>
      <c r="H227" s="595">
        <v>2.9</v>
      </c>
      <c r="I227"/>
      <c r="L227" s="54" t="s">
        <v>509</v>
      </c>
      <c r="N227" s="463"/>
      <c r="R227" s="54">
        <f>SUM('Operational Model'!J10:U10)</f>
        <v>13025.163714431646</v>
      </c>
    </row>
    <row r="228" spans="2:19" ht="15.75" outlineLevel="1" thickBot="1" x14ac:dyDescent="0.35">
      <c r="B228" s="570">
        <v>45901</v>
      </c>
      <c r="C228" s="571"/>
      <c r="D228" s="571" t="s">
        <v>493</v>
      </c>
      <c r="E228" s="571"/>
      <c r="F228" s="571" t="s">
        <v>494</v>
      </c>
      <c r="G228" s="571"/>
      <c r="H228" s="595">
        <v>3</v>
      </c>
      <c r="I228"/>
      <c r="L228" s="54" t="s">
        <v>510</v>
      </c>
      <c r="R228" s="264">
        <f>H235</f>
        <v>3.1</v>
      </c>
    </row>
    <row r="229" spans="2:19" outlineLevel="1" x14ac:dyDescent="0.3">
      <c r="B229" s="570">
        <v>45901</v>
      </c>
      <c r="C229" s="571"/>
      <c r="D229" s="571" t="s">
        <v>495</v>
      </c>
      <c r="E229" s="571"/>
      <c r="F229" s="571" t="s">
        <v>496</v>
      </c>
      <c r="G229" s="571"/>
      <c r="H229" s="595">
        <v>3.7</v>
      </c>
      <c r="I229"/>
      <c r="L229" s="76" t="s">
        <v>471</v>
      </c>
      <c r="M229" s="76"/>
      <c r="N229" s="76"/>
      <c r="O229" s="76"/>
      <c r="P229" s="76"/>
      <c r="Q229" s="579"/>
      <c r="R229" s="76">
        <f>R227*R228</f>
        <v>40378.007514738107</v>
      </c>
    </row>
    <row r="230" spans="2:19" outlineLevel="1" x14ac:dyDescent="0.3">
      <c r="B230" s="570">
        <v>45839</v>
      </c>
      <c r="C230" s="571"/>
      <c r="D230" s="571" t="s">
        <v>497</v>
      </c>
      <c r="E230" s="571"/>
      <c r="F230" s="571" t="s">
        <v>496</v>
      </c>
      <c r="G230" s="571"/>
      <c r="H230" s="595">
        <v>4.3</v>
      </c>
      <c r="I230"/>
    </row>
    <row r="231" spans="2:19" outlineLevel="1" x14ac:dyDescent="0.3">
      <c r="B231" s="570">
        <v>45566</v>
      </c>
      <c r="C231" s="571"/>
      <c r="D231" s="571" t="s">
        <v>498</v>
      </c>
      <c r="E231" s="571"/>
      <c r="F231" s="571" t="s">
        <v>499</v>
      </c>
      <c r="G231" s="571"/>
      <c r="H231" s="595">
        <v>3.2</v>
      </c>
      <c r="I231"/>
      <c r="L231" s="54" t="s">
        <v>511</v>
      </c>
      <c r="R231" s="54">
        <f ca="1">'Operational Model'!I90</f>
        <v>3840.0633643571455</v>
      </c>
    </row>
    <row r="232" spans="2:19" ht="15.75" outlineLevel="1" thickBot="1" x14ac:dyDescent="0.35">
      <c r="B232" s="570">
        <v>45444</v>
      </c>
      <c r="C232" s="571"/>
      <c r="D232" s="571" t="s">
        <v>500</v>
      </c>
      <c r="E232" s="571"/>
      <c r="F232" s="571" t="s">
        <v>501</v>
      </c>
      <c r="G232" s="571"/>
      <c r="H232" s="595">
        <v>3.9</v>
      </c>
      <c r="I232"/>
      <c r="L232" s="54" t="s">
        <v>512</v>
      </c>
      <c r="R232" s="54">
        <f>Inputs!E200</f>
        <v>0</v>
      </c>
    </row>
    <row r="233" spans="2:19" outlineLevel="1" x14ac:dyDescent="0.3">
      <c r="B233" s="570">
        <v>45200</v>
      </c>
      <c r="C233" s="571"/>
      <c r="D233" s="571" t="s">
        <v>502</v>
      </c>
      <c r="E233" s="571"/>
      <c r="F233" s="571" t="s">
        <v>503</v>
      </c>
      <c r="G233" s="571"/>
      <c r="H233" s="595">
        <v>2.5</v>
      </c>
      <c r="I233"/>
      <c r="L233" s="76" t="s">
        <v>478</v>
      </c>
      <c r="M233" s="76"/>
      <c r="N233" s="76"/>
      <c r="O233" s="76"/>
      <c r="P233" s="76"/>
      <c r="Q233" s="579"/>
      <c r="R233" s="76">
        <f ca="1">R229+R231-R232</f>
        <v>44218.070879095249</v>
      </c>
    </row>
    <row r="234" spans="2:19" ht="19.5" customHeight="1" outlineLevel="1" thickBot="1" x14ac:dyDescent="0.35">
      <c r="B234" s="572">
        <v>44986</v>
      </c>
      <c r="C234" s="573"/>
      <c r="D234" s="573" t="s">
        <v>504</v>
      </c>
      <c r="E234" s="573"/>
      <c r="F234" s="573" t="s">
        <v>505</v>
      </c>
      <c r="G234" s="573"/>
      <c r="H234" s="596">
        <v>2.9</v>
      </c>
      <c r="I234"/>
    </row>
    <row r="235" spans="2:19" outlineLevel="1" x14ac:dyDescent="0.3">
      <c r="B235" s="565" t="s">
        <v>389</v>
      </c>
      <c r="C235" s="565"/>
      <c r="D235" s="565"/>
      <c r="E235" s="565"/>
      <c r="F235" s="565"/>
      <c r="G235" s="565"/>
      <c r="H235" s="597">
        <f>MEDIAN(H227:H234)</f>
        <v>3.1</v>
      </c>
      <c r="I235" s="566"/>
    </row>
    <row r="236" spans="2:19" outlineLevel="1" x14ac:dyDescent="0.3"/>
    <row r="237" spans="2:19" outlineLevel="1" x14ac:dyDescent="0.3"/>
    <row r="238" spans="2:19" outlineLevel="1" x14ac:dyDescent="0.3">
      <c r="S238" s="567" t="s">
        <v>508</v>
      </c>
    </row>
    <row r="239" spans="2:19" outlineLevel="1" x14ac:dyDescent="0.3">
      <c r="S239" s="545" t="s">
        <v>507</v>
      </c>
    </row>
    <row r="240" spans="2:19" outlineLevel="1" x14ac:dyDescent="0.3"/>
    <row r="242" spans="1:30" s="149" customFormat="1" ht="18.75" customHeight="1" x14ac:dyDescent="0.3">
      <c r="A242" s="149" t="s">
        <v>33</v>
      </c>
      <c r="B242" s="152" t="s">
        <v>513</v>
      </c>
      <c r="C242" s="153"/>
      <c r="D242" s="153"/>
      <c r="E242" s="153"/>
      <c r="F242" s="153"/>
      <c r="G242" s="153"/>
      <c r="H242" s="153"/>
      <c r="I242" s="153"/>
      <c r="J242" s="153"/>
      <c r="K242" s="153"/>
      <c r="L242" s="153"/>
      <c r="M242" s="153"/>
      <c r="N242" s="153"/>
      <c r="O242" s="153"/>
      <c r="P242" s="153"/>
      <c r="Q242" s="153"/>
      <c r="R242" s="153"/>
      <c r="S242" s="153"/>
      <c r="T242"/>
      <c r="U242"/>
      <c r="V242"/>
      <c r="W242"/>
      <c r="X242"/>
      <c r="Y242"/>
      <c r="Z242"/>
      <c r="AA242"/>
      <c r="AB242"/>
      <c r="AC242"/>
      <c r="AD242"/>
    </row>
    <row r="243" spans="1:30" outlineLevel="1" x14ac:dyDescent="0.3"/>
    <row r="244" spans="1:30" outlineLevel="1" x14ac:dyDescent="0.3">
      <c r="B244" s="155" t="s">
        <v>24</v>
      </c>
    </row>
    <row r="245" spans="1:30" outlineLevel="1" x14ac:dyDescent="0.3">
      <c r="B245" s="155" t="str" cm="1">
        <f t="array" ref="B245">CONCATENATE("Model Running: ",INDEX(Inputs!$B$15:$B$17,Inputs!$D$8)," Drivers")</f>
        <v>Model Running: Base Case Drivers</v>
      </c>
    </row>
    <row r="246" spans="1:30" outlineLevel="1" x14ac:dyDescent="0.3"/>
    <row r="247" spans="1:30" outlineLevel="1" x14ac:dyDescent="0.3"/>
    <row r="248" spans="1:30" ht="17.25" customHeight="1" outlineLevel="1" x14ac:dyDescent="0.3">
      <c r="C248" s="603" t="s">
        <v>528</v>
      </c>
      <c r="D248" s="100"/>
      <c r="E248" s="602"/>
      <c r="F248" s="100"/>
      <c r="G248" s="100"/>
      <c r="H248" s="100"/>
      <c r="L248" s="136"/>
      <c r="Q248" s="601" t="s">
        <v>365</v>
      </c>
    </row>
    <row r="249" spans="1:30" outlineLevel="1" x14ac:dyDescent="0.3">
      <c r="L249" t="s">
        <v>517</v>
      </c>
      <c r="Q249" s="54">
        <f>P116</f>
        <v>44981.391855435191</v>
      </c>
    </row>
    <row r="250" spans="1:30" outlineLevel="1" x14ac:dyDescent="0.3">
      <c r="L250" t="s">
        <v>516</v>
      </c>
      <c r="Q250" s="54">
        <f>P161</f>
        <v>44296.376321360432</v>
      </c>
    </row>
    <row r="251" spans="1:30" outlineLevel="1" x14ac:dyDescent="0.3">
      <c r="L251" t="s">
        <v>514</v>
      </c>
      <c r="Q251" s="54">
        <f>AVERAGE(H205,I205)</f>
        <v>36090.561813860193</v>
      </c>
    </row>
    <row r="252" spans="1:30" ht="15.75" outlineLevel="1" thickBot="1" x14ac:dyDescent="0.35">
      <c r="L252" t="s">
        <v>515</v>
      </c>
      <c r="Q252" s="54">
        <f>R229</f>
        <v>40378.007514738107</v>
      </c>
    </row>
    <row r="253" spans="1:30" outlineLevel="1" x14ac:dyDescent="0.3">
      <c r="L253" s="598" t="s">
        <v>525</v>
      </c>
      <c r="M253" s="599"/>
      <c r="N253" s="599"/>
      <c r="O253" s="599"/>
      <c r="P253" s="599"/>
      <c r="Q253" s="76">
        <f>AVERAGE(Q249:Q252)</f>
        <v>41436.584376348481</v>
      </c>
    </row>
    <row r="254" spans="1:30" outlineLevel="1" x14ac:dyDescent="0.3"/>
    <row r="255" spans="1:30" outlineLevel="1" x14ac:dyDescent="0.3"/>
    <row r="256" spans="1:30" outlineLevel="1" x14ac:dyDescent="0.3"/>
    <row r="257" spans="4:17" outlineLevel="1" x14ac:dyDescent="0.3"/>
    <row r="258" spans="4:17" outlineLevel="1" x14ac:dyDescent="0.3"/>
    <row r="259" spans="4:17" outlineLevel="1" x14ac:dyDescent="0.3">
      <c r="L259" s="520" t="s">
        <v>529</v>
      </c>
      <c r="M259" s="21"/>
      <c r="N259" s="21"/>
      <c r="O259" s="600" t="s">
        <v>518</v>
      </c>
      <c r="P259" s="600" t="s">
        <v>526</v>
      </c>
      <c r="Q259" s="600" t="s">
        <v>519</v>
      </c>
    </row>
    <row r="260" spans="4:17" outlineLevel="1" x14ac:dyDescent="0.3">
      <c r="L260" t="s">
        <v>517</v>
      </c>
      <c r="M260"/>
      <c r="N260"/>
      <c r="O260" s="536">
        <f>E284</f>
        <v>37620.690405190937</v>
      </c>
      <c r="P260" s="536">
        <f t="shared" ref="P260:P265" si="46">Q260-O260</f>
        <v>17936.099921000627</v>
      </c>
      <c r="Q260" s="536">
        <f>G286</f>
        <v>55556.790326191564</v>
      </c>
    </row>
    <row r="261" spans="4:17" outlineLevel="1" x14ac:dyDescent="0.3">
      <c r="L261" t="s">
        <v>516</v>
      </c>
      <c r="M261"/>
      <c r="N261"/>
      <c r="O261" s="536">
        <f>M284</f>
        <v>38117.227772286926</v>
      </c>
      <c r="P261" s="536">
        <f t="shared" si="46"/>
        <v>13291.245581135474</v>
      </c>
      <c r="Q261" s="536">
        <f>O286</f>
        <v>51408.4733534224</v>
      </c>
    </row>
    <row r="262" spans="4:17" outlineLevel="1" x14ac:dyDescent="0.3">
      <c r="H262" s="408"/>
      <c r="L262" t="s">
        <v>515</v>
      </c>
      <c r="M262"/>
      <c r="N262"/>
      <c r="O262" s="536">
        <f>_xlfn.PERCENTILE.INC(H227:H234,25%)*R227</f>
        <v>37772.974771851776</v>
      </c>
      <c r="P262" s="536">
        <f t="shared" si="46"/>
        <v>11071.389157266902</v>
      </c>
      <c r="Q262" s="536">
        <f>_xlfn.PERCENTILE.INC(H227:H234,75%)*R227</f>
        <v>48844.363929118677</v>
      </c>
    </row>
    <row r="263" spans="4:17" outlineLevel="1" x14ac:dyDescent="0.3">
      <c r="L263" t="s">
        <v>514</v>
      </c>
      <c r="M263"/>
      <c r="N263"/>
      <c r="O263" s="536">
        <f>(O264+O265)/2</f>
        <v>24234.913970709043</v>
      </c>
      <c r="P263" s="536">
        <f t="shared" si="46"/>
        <v>20383.732275349706</v>
      </c>
      <c r="Q263" s="536">
        <f>(Q264+Q265)/2</f>
        <v>44618.64624605875</v>
      </c>
    </row>
    <row r="264" spans="4:17" outlineLevel="1" x14ac:dyDescent="0.3">
      <c r="L264" t="s">
        <v>520</v>
      </c>
      <c r="M264"/>
      <c r="N264"/>
      <c r="O264" s="536">
        <f>_xlfn.PERCENTILE.INC(N184:N189,25%)*H200</f>
        <v>21817.589238746696</v>
      </c>
      <c r="P264" s="536">
        <f t="shared" si="46"/>
        <v>20386.048721793399</v>
      </c>
      <c r="Q264" s="536">
        <f>_xlfn.PERCENTILE.INC(N184:N189,75%)*H200</f>
        <v>42203.637960540094</v>
      </c>
    </row>
    <row r="265" spans="4:17" outlineLevel="1" x14ac:dyDescent="0.3">
      <c r="L265" t="s">
        <v>521</v>
      </c>
      <c r="M265"/>
      <c r="N265"/>
      <c r="O265" s="536">
        <f>_xlfn.PERCENTILE.INC(O184:O189,25%)*I200</f>
        <v>26652.238702671391</v>
      </c>
      <c r="P265" s="536">
        <f t="shared" si="46"/>
        <v>20381.415828906014</v>
      </c>
      <c r="Q265" s="536">
        <f>_xlfn.PERCENTILE.INC(O184:O189,75%)*I200</f>
        <v>47033.654531577406</v>
      </c>
    </row>
    <row r="266" spans="4:17" outlineLevel="1" x14ac:dyDescent="0.3">
      <c r="H266" s="54"/>
    </row>
    <row r="267" spans="4:17" outlineLevel="1" x14ac:dyDescent="0.3"/>
    <row r="268" spans="4:17" outlineLevel="1" x14ac:dyDescent="0.3"/>
    <row r="269" spans="4:17" outlineLevel="1" x14ac:dyDescent="0.3"/>
    <row r="270" spans="4:17" outlineLevel="1" x14ac:dyDescent="0.3"/>
    <row r="271" spans="4:17" outlineLevel="1" x14ac:dyDescent="0.3">
      <c r="D271" s="592" t="s">
        <v>527</v>
      </c>
      <c r="E271" s="593"/>
      <c r="F271" s="593"/>
      <c r="G271" s="594"/>
      <c r="O271" s="583"/>
    </row>
    <row r="272" spans="4:17" outlineLevel="1" x14ac:dyDescent="0.3">
      <c r="D272" s="587" t="s">
        <v>376</v>
      </c>
      <c r="E272" s="461"/>
      <c r="F272" s="461"/>
      <c r="G272" s="588">
        <f>Inputs!N133</f>
        <v>2.5000000000000001E-2</v>
      </c>
    </row>
    <row r="273" spans="2:16" outlineLevel="1" x14ac:dyDescent="0.3">
      <c r="D273" s="589" t="s">
        <v>375</v>
      </c>
      <c r="E273" s="61"/>
      <c r="F273" s="61"/>
      <c r="G273" s="552">
        <f>Inputs!AC167</f>
        <v>0.1078789259490672</v>
      </c>
    </row>
    <row r="274" spans="2:16" outlineLevel="1" x14ac:dyDescent="0.3">
      <c r="D274" s="590" t="s">
        <v>462</v>
      </c>
      <c r="E274" s="63"/>
      <c r="F274" s="459"/>
      <c r="G274" s="591">
        <f>Inputs!$E$212</f>
        <v>9</v>
      </c>
    </row>
    <row r="275" spans="2:16" outlineLevel="1" x14ac:dyDescent="0.3"/>
    <row r="276" spans="2:16" outlineLevel="1" x14ac:dyDescent="0.3"/>
    <row r="277" spans="2:16" outlineLevel="1" x14ac:dyDescent="0.3">
      <c r="F277" s="19"/>
    </row>
    <row r="278" spans="2:16" ht="16.5" outlineLevel="1" x14ac:dyDescent="0.3">
      <c r="B278" s="149"/>
      <c r="C278" s="257"/>
      <c r="D278" s="362" t="s">
        <v>522</v>
      </c>
      <c r="E278" s="363"/>
      <c r="F278" s="364"/>
      <c r="G278" s="365"/>
      <c r="H278" s="365"/>
      <c r="I278" s="196"/>
      <c r="J278" s="149"/>
      <c r="K278" s="149"/>
      <c r="L278" s="362" t="s">
        <v>523</v>
      </c>
      <c r="M278" s="363"/>
      <c r="N278" s="364"/>
      <c r="O278" s="365"/>
      <c r="P278" s="365"/>
    </row>
    <row r="279" spans="2:16" outlineLevel="1" x14ac:dyDescent="0.3">
      <c r="B279" s="149"/>
      <c r="C279" s="149"/>
      <c r="D279" s="149"/>
      <c r="E279" s="366"/>
      <c r="F279" s="366"/>
      <c r="G279" s="367"/>
      <c r="H279" s="367"/>
      <c r="I279" s="196"/>
      <c r="J279" s="149"/>
      <c r="K279" s="149"/>
      <c r="L279" s="149"/>
      <c r="M279" s="366"/>
      <c r="N279" s="366"/>
      <c r="O279" s="367"/>
      <c r="P279" s="367"/>
    </row>
    <row r="280" spans="2:16" outlineLevel="1" x14ac:dyDescent="0.3">
      <c r="B280" s="149"/>
      <c r="C280" s="149"/>
      <c r="D280" s="149"/>
      <c r="E280" s="244"/>
      <c r="F280" s="244"/>
      <c r="G280" s="297"/>
      <c r="H280" s="297"/>
      <c r="I280" s="196"/>
      <c r="J280" s="149"/>
      <c r="K280" s="149"/>
      <c r="L280" s="149"/>
      <c r="M280" s="244"/>
      <c r="N280" s="244"/>
      <c r="O280" s="297"/>
      <c r="P280" s="297"/>
    </row>
    <row r="281" spans="2:16" outlineLevel="1" x14ac:dyDescent="0.3">
      <c r="B281" s="149"/>
      <c r="C281" s="149"/>
      <c r="D281" s="368" t="s">
        <v>376</v>
      </c>
      <c r="E281" s="257"/>
      <c r="F281" s="257"/>
      <c r="G281" s="369"/>
      <c r="H281" s="369"/>
      <c r="I281" s="196"/>
      <c r="J281" s="149"/>
      <c r="K281" s="149"/>
      <c r="L281" s="390" t="s">
        <v>524</v>
      </c>
      <c r="M281" s="391"/>
      <c r="N281" s="391"/>
      <c r="O281" s="391"/>
      <c r="P281" s="391"/>
    </row>
    <row r="282" spans="2:16" outlineLevel="1" x14ac:dyDescent="0.3">
      <c r="B282" s="149"/>
      <c r="C282" s="375">
        <f>P116</f>
        <v>44981.391855435191</v>
      </c>
      <c r="D282" s="386">
        <f>E282-0.005</f>
        <v>1.4999999999999999E-2</v>
      </c>
      <c r="E282" s="386">
        <f>F282-0.005</f>
        <v>0.02</v>
      </c>
      <c r="F282" s="581">
        <f>+Inputs!N133</f>
        <v>2.5000000000000001E-2</v>
      </c>
      <c r="G282" s="386">
        <f>+F282+0.005</f>
        <v>3.0000000000000002E-2</v>
      </c>
      <c r="H282" s="386">
        <f>+G282+0.005</f>
        <v>3.5000000000000003E-2</v>
      </c>
      <c r="I282" s="371"/>
      <c r="J282" s="370"/>
      <c r="K282" s="586">
        <f>P161</f>
        <v>44296.376321360432</v>
      </c>
      <c r="L282" s="584">
        <f>M282-1</f>
        <v>7</v>
      </c>
      <c r="M282" s="584">
        <f>N282-1</f>
        <v>8</v>
      </c>
      <c r="N282" s="584">
        <f>Inputs!E212</f>
        <v>9</v>
      </c>
      <c r="O282" s="584">
        <f>+N282+1</f>
        <v>10</v>
      </c>
      <c r="P282" s="584">
        <f>+O282+1</f>
        <v>11</v>
      </c>
    </row>
    <row r="283" spans="2:16" outlineLevel="1" x14ac:dyDescent="0.3">
      <c r="B283" s="609" t="s">
        <v>375</v>
      </c>
      <c r="C283" s="580">
        <f>C284+0.01</f>
        <v>0.12787892594906719</v>
      </c>
      <c r="D283" s="393">
        <f t="dataTable" ref="D283:H287" dt2D="1" dtr="1" r1="G272" r2="G273"/>
        <v>32197.490253323653</v>
      </c>
      <c r="E283" s="394">
        <v>33046.158116787032</v>
      </c>
      <c r="F283" s="394">
        <v>33977.31788572418</v>
      </c>
      <c r="G283" s="394">
        <v>35003.61149066416</v>
      </c>
      <c r="H283" s="395">
        <v>36140.403100878524</v>
      </c>
      <c r="I283" s="196"/>
      <c r="J283" s="609" t="s">
        <v>375</v>
      </c>
      <c r="K283" s="580">
        <f>K284+0.01</f>
        <v>0.12787892594906719</v>
      </c>
      <c r="L283" s="393">
        <f t="dataTable" ref="L283:P287" dt2D="1" dtr="1" r1="G274" r2="G273" ca="1"/>
        <v>32749.271272574719</v>
      </c>
      <c r="M283" s="394">
        <v>35182.202012283728</v>
      </c>
      <c r="N283" s="394">
        <v>37615.132751992722</v>
      </c>
      <c r="O283" s="394">
        <v>40048.063491701723</v>
      </c>
      <c r="P283" s="395">
        <v>42480.994231410725</v>
      </c>
    </row>
    <row r="284" spans="2:16" outlineLevel="1" x14ac:dyDescent="0.3">
      <c r="B284" s="609"/>
      <c r="C284" s="580">
        <f>C285+0.01</f>
        <v>0.1178789259490672</v>
      </c>
      <c r="D284" s="396">
        <v>36506.225203133377</v>
      </c>
      <c r="E284" s="397">
        <v>37620.690405190937</v>
      </c>
      <c r="F284" s="397">
        <v>38855.146788312413</v>
      </c>
      <c r="G284" s="397">
        <v>40230.075573638358</v>
      </c>
      <c r="H284" s="398">
        <v>41770.900425977889</v>
      </c>
      <c r="I284" s="196"/>
      <c r="J284" s="609"/>
      <c r="K284" s="580">
        <f>K285+0.01</f>
        <v>0.1178789259490672</v>
      </c>
      <c r="L284" s="396">
        <v>35439.682629147319</v>
      </c>
      <c r="M284" s="397">
        <v>38117.227772286926</v>
      </c>
      <c r="N284" s="397">
        <v>40794.77291542654</v>
      </c>
      <c r="O284" s="397">
        <v>43472.318058566147</v>
      </c>
      <c r="P284" s="398">
        <v>46149.863201705761</v>
      </c>
    </row>
    <row r="285" spans="2:16" outlineLevel="1" x14ac:dyDescent="0.3">
      <c r="B285" s="609"/>
      <c r="C285" s="582">
        <f>Inputs!AC167</f>
        <v>0.1078789259490672</v>
      </c>
      <c r="D285" s="396">
        <v>41812.792258487694</v>
      </c>
      <c r="E285" s="397">
        <v>43306.951003155671</v>
      </c>
      <c r="F285" s="392">
        <v>44981.391855435191</v>
      </c>
      <c r="G285" s="397">
        <v>46870.838350367601</v>
      </c>
      <c r="H285" s="398">
        <v>49019.543124744581</v>
      </c>
      <c r="I285" s="196"/>
      <c r="J285" s="609"/>
      <c r="K285" s="585">
        <f>Inputs!AC167</f>
        <v>0.1078789259490672</v>
      </c>
      <c r="L285" s="396">
        <v>38397.79288288729</v>
      </c>
      <c r="M285" s="397">
        <v>41347.084602123869</v>
      </c>
      <c r="N285" s="392">
        <v>44296.376321360432</v>
      </c>
      <c r="O285" s="397">
        <v>47245.668040597004</v>
      </c>
      <c r="P285" s="398">
        <v>50194.959759833582</v>
      </c>
    </row>
    <row r="286" spans="2:16" outlineLevel="1" x14ac:dyDescent="0.3">
      <c r="B286" s="609"/>
      <c r="C286" s="580">
        <f>C285-0.01</f>
        <v>9.7878925949067205E-2</v>
      </c>
      <c r="D286" s="396">
        <v>48484.096460736735</v>
      </c>
      <c r="E286" s="397">
        <v>50538.939313721152</v>
      </c>
      <c r="F286" s="397">
        <v>52875.735121723112</v>
      </c>
      <c r="G286" s="397">
        <v>55556.790326191564</v>
      </c>
      <c r="H286" s="398">
        <v>58664.229277519837</v>
      </c>
      <c r="I286" s="196"/>
      <c r="J286" s="609"/>
      <c r="K286" s="580">
        <f>K285-0.01</f>
        <v>9.7878925949067205E-2</v>
      </c>
      <c r="L286" s="396">
        <v>41654.073154174948</v>
      </c>
      <c r="M286" s="397">
        <v>44905.53988725743</v>
      </c>
      <c r="N286" s="397">
        <v>48157.006620339918</v>
      </c>
      <c r="O286" s="397">
        <v>51408.4733534224</v>
      </c>
      <c r="P286" s="398">
        <v>54659.940086504888</v>
      </c>
    </row>
    <row r="287" spans="2:16" outlineLevel="1" x14ac:dyDescent="0.3">
      <c r="B287" s="609"/>
      <c r="C287" s="580">
        <f>C286-0.01</f>
        <v>8.787892594906721E-2</v>
      </c>
      <c r="D287" s="399">
        <v>57088.996402109624</v>
      </c>
      <c r="E287" s="400">
        <v>60006.982679303124</v>
      </c>
      <c r="F287" s="400">
        <v>63389.033224953921</v>
      </c>
      <c r="G287" s="400">
        <v>67355.415717024574</v>
      </c>
      <c r="H287" s="401">
        <v>72071.885776284296</v>
      </c>
      <c r="I287" s="196"/>
      <c r="J287" s="609"/>
      <c r="K287" s="580">
        <f>K286-0.01</f>
        <v>8.787892594906721E-2</v>
      </c>
      <c r="L287" s="399">
        <v>45242.854746294834</v>
      </c>
      <c r="M287" s="400">
        <v>48830.657165995784</v>
      </c>
      <c r="N287" s="400">
        <v>52418.459585696721</v>
      </c>
      <c r="O287" s="400">
        <v>56006.262005397672</v>
      </c>
      <c r="P287" s="401">
        <v>59594.064425098622</v>
      </c>
    </row>
    <row r="288" spans="2:16" outlineLevel="1" x14ac:dyDescent="0.3">
      <c r="B288" s="149"/>
      <c r="C288" s="149"/>
      <c r="D288" s="372"/>
      <c r="E288" s="372"/>
      <c r="F288" s="372"/>
      <c r="G288" s="372"/>
      <c r="H288" s="372"/>
      <c r="I288" s="196"/>
      <c r="J288" s="196"/>
      <c r="K288" s="196"/>
      <c r="L288" s="196"/>
      <c r="M288" s="196"/>
      <c r="N288" s="196"/>
      <c r="O288" s="196"/>
      <c r="P288" s="196"/>
    </row>
    <row r="289" spans="2:16" x14ac:dyDescent="0.3">
      <c r="B289" s="149"/>
      <c r="C289" s="149"/>
      <c r="D289" s="149"/>
      <c r="E289" s="149"/>
      <c r="F289" s="196"/>
      <c r="G289" s="196"/>
      <c r="H289" s="196"/>
      <c r="I289" s="196"/>
      <c r="J289" s="196"/>
      <c r="K289" s="196"/>
      <c r="L289" s="196"/>
      <c r="M289" s="196"/>
      <c r="N289" s="196"/>
      <c r="O289" s="196"/>
      <c r="P289" s="196"/>
    </row>
  </sheetData>
  <mergeCells count="2">
    <mergeCell ref="B283:B287"/>
    <mergeCell ref="J283:J287"/>
  </mergeCells>
  <conditionalFormatting sqref="D283:H28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83:P28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Executive Dashboard</vt:lpstr>
      <vt:lpstr>Inputs</vt:lpstr>
      <vt:lpstr>Operational Model</vt:lpstr>
      <vt:lpstr>Valuation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Gale Suer</dc:creator>
  <cp:lastModifiedBy>Gale Suer</cp:lastModifiedBy>
  <cp:lastPrinted>2026-10-05T15:12:21Z</cp:lastPrinted>
  <dcterms:created xsi:type="dcterms:W3CDTF">2026-06-13T09:22:21Z</dcterms:created>
  <dcterms:modified xsi:type="dcterms:W3CDTF">2026-10-07T19:50:25Z</dcterms:modified>
</cp:coreProperties>
</file>